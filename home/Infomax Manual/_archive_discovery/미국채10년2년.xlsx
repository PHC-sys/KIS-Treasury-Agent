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OneDrive\바탕 화면\직장\한국투자증권\AI Agent\KIS-Treasury-Agent-main\Infomax Manual\_archive_discovery\"/>
    </mc:Choice>
  </mc:AlternateContent>
  <xr:revisionPtr revIDLastSave="0" documentId="8_{7004C5A0-D66B-4699-BB4B-63FDC381B233}" xr6:coauthVersionLast="47" xr6:coauthVersionMax="47" xr10:uidLastSave="{00000000-0000-0000-0000-000000000000}"/>
  <bookViews>
    <workbookView xWindow="-108" yWindow="-108" windowWidth="34776" windowHeight="21096" xr2:uid="{44DADFC7-0F5F-4389-A0A8-33A79E48F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  <c r="L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</author>
  </authors>
  <commentList>
    <comment ref="I1" authorId="0" shapeId="0" xr:uid="{B4B5D891-5241-4E67-B9BC-89926C06E0A0}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 xr:uid="{013009A8-98BF-4135-AB33-2D7456128E36}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 xr:uid="{B753E431-D1E8-4FDF-8314-1272A1ABE138}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E3" authorId="0" shapeId="0" xr:uid="{5BBAE671-C2B3-4FBC-BC6E-79127B40DCC1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3" authorId="0" shapeId="0" xr:uid="{115EF0D6-A64D-4295-9EE3-E47B32104EEA}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G3" authorId="0" shapeId="0" xr:uid="{3C34F561-084F-48F1-80BA-F1472E3F8D4B}">
      <text>
        <r>
          <rPr>
            <b/>
            <sz val="9"/>
            <color indexed="81"/>
            <rFont val="Tahoma"/>
            <family val="2"/>
          </rPr>
          <t xml:space="preserve">평균 또는 종가 등락률 _x000D_
</t>
        </r>
      </text>
    </comment>
    <comment ref="P3" authorId="0" shapeId="0" xr:uid="{52829838-41DE-4D3C-BC1C-73B478DFF471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Q3" authorId="0" shapeId="0" xr:uid="{A2793D43-FF53-4839-ADDF-33793306F574}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R3" authorId="0" shapeId="0" xr:uid="{A4F9DE4E-7634-45B1-9172-0F56833E0DCE}">
      <text>
        <r>
          <rPr>
            <b/>
            <sz val="9"/>
            <color indexed="81"/>
            <rFont val="Tahoma"/>
            <family val="2"/>
          </rPr>
          <t xml:space="preserve">평균 또는 종가 등락률 _x000D_
</t>
        </r>
      </text>
    </comment>
  </commentList>
</comments>
</file>

<file path=xl/sharedStrings.xml><?xml version="1.0" encoding="utf-8"?>
<sst xmlns="http://schemas.openxmlformats.org/spreadsheetml/2006/main" count="36" uniqueCount="22">
  <si>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</si>
  <si>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</si>
  <si>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</si>
  <si>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</si>
  <si>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</si>
  <si>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</si>
  <si>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</si>
  <si>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</si>
  <si>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</si>
  <si>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</si>
  <si>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</si>
  <si>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시가</t>
  </si>
  <si>
    <t>고가</t>
  </si>
  <si>
    <t>저가</t>
  </si>
  <si>
    <t>현재가</t>
  </si>
  <si>
    <t>전일대비</t>
  </si>
  <si>
    <t>등락률</t>
  </si>
  <si>
    <t>거래량</t>
  </si>
  <si>
    <t>전일대비거래량</t>
  </si>
  <si>
    <t>매도잔량</t>
  </si>
  <si>
    <t>매수잔량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</si>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</sst>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x2.Nq1R1</stp>
        <stp>31</stp>
        <stp>602394</stp>
        <tr r="L2" s="1"/>
      </tp>
      <tp>
        <v>0</v>
        <stp/>
        <stp>H</stp>
        <stp>x1.Nq1R1</stp>
        <stp>30</stp>
        <stp>602394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96DF-4BF0-4F69-8B8A-07A77E2EF727}">
  <dimension ref="A1:V103"/>
  <sheetViews>
    <sheetView tabSelected="1" workbookViewId="0">
      <selection activeCell="L2" sqref="L2"/>
    </sheetView>
  </sheetViews>
  <sheetFormatPr defaultRowHeight="17.399999999999999" x14ac:dyDescent="0.4"/>
  <cols>
    <col min="1" max="1" width="10.69921875" customWidth="1"/>
    <col min="2" max="2" width="10.8984375" bestFit="1" customWidth="1"/>
    <col min="4" max="4" width="10.8984375" bestFit="1" customWidth="1"/>
  </cols>
  <sheetData>
    <row r="1" spans="1:22" x14ac:dyDescent="0.4">
      <c r="A1" s="1" t="s">
        <v>0</v>
      </c>
      <c r="B1" s="2">
        <v>45887</v>
      </c>
      <c r="C1" s="1" t="s">
        <v>1</v>
      </c>
      <c r="D1" s="2">
        <f ca="1">TODAY()</f>
        <v>46252</v>
      </c>
      <c r="E1" s="1" t="s">
        <v>2</v>
      </c>
      <c r="F1">
        <v>100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22" x14ac:dyDescent="0.4">
      <c r="A2" t="str">
        <f ca="1">_xll.IMDH("FRN","GVO:TR10Y",A3:K3,$B$1,$D$1,$F$1,"Per="&amp;$H$1&amp;",sort="&amp;$J$1&amp;",real=false,Bizday="&amp;$L$1&amp;",Quote="&amp;$N$1&amp;",Pos=20,Orient=V,Title=10년 T-Note,DtFmt=1,TmFmt=1,unit=true")</f>
        <v>10년 T-NOTE</v>
      </c>
      <c r="L2" t="str">
        <f ca="1">_xll.IMDH("FRN","GVO:TR02Y",L3:V3,$B$1,$D$1,$F$1,"Per="&amp;$H$1&amp;",sort="&amp;$J$1&amp;",real=false,Bizday="&amp;$L$1&amp;",Quote="&amp;$N$1&amp;",Pos=20,Orient=V,Title=2년 T-Note,DtFmt=1,TmFmt=1,unit=true")</f>
        <v>2년 T-NOTE</v>
      </c>
    </row>
    <row r="3" spans="1:22" x14ac:dyDescent="0.4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3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</row>
    <row r="4" spans="1:22" x14ac:dyDescent="0.4">
      <c r="A4" s="2">
        <v>46252</v>
      </c>
      <c r="B4">
        <v>4.7270000000000003</v>
      </c>
      <c r="C4">
        <v>4.7430000000000003</v>
      </c>
      <c r="D4">
        <v>4.7240000000000002</v>
      </c>
      <c r="E4">
        <v>4.7409999999999997</v>
      </c>
      <c r="F4">
        <v>1.7999999999999999E-2</v>
      </c>
      <c r="G4">
        <v>0.38</v>
      </c>
      <c r="J4" t="s">
        <v>21</v>
      </c>
      <c r="K4" t="s">
        <v>21</v>
      </c>
      <c r="L4" s="2">
        <v>46252</v>
      </c>
      <c r="M4">
        <v>4.1859999999999999</v>
      </c>
      <c r="N4">
        <v>4.202</v>
      </c>
      <c r="O4">
        <v>4.1840000000000002</v>
      </c>
      <c r="P4">
        <v>4.2</v>
      </c>
      <c r="Q4">
        <v>2.1000000000000001E-2</v>
      </c>
      <c r="R4">
        <v>0.5</v>
      </c>
      <c r="U4" t="s">
        <v>21</v>
      </c>
      <c r="V4" t="s">
        <v>21</v>
      </c>
    </row>
    <row r="5" spans="1:22" x14ac:dyDescent="0.4">
      <c r="A5" s="2">
        <v>46251</v>
      </c>
      <c r="B5">
        <v>4.6959999999999997</v>
      </c>
      <c r="C5">
        <v>4.7300000000000004</v>
      </c>
      <c r="D5">
        <v>4.6719999999999997</v>
      </c>
      <c r="E5">
        <v>4.7229999999999999</v>
      </c>
      <c r="F5">
        <v>2.9000000000000001E-2</v>
      </c>
      <c r="G5">
        <v>0.62</v>
      </c>
      <c r="H5">
        <v>0</v>
      </c>
      <c r="L5" s="2">
        <v>46251</v>
      </c>
      <c r="M5">
        <v>4.1749999999999998</v>
      </c>
      <c r="N5">
        <v>4.1900000000000004</v>
      </c>
      <c r="O5">
        <v>4.1539999999999999</v>
      </c>
      <c r="P5">
        <v>4.1790000000000003</v>
      </c>
      <c r="Q5">
        <v>4.0000000000000001E-3</v>
      </c>
      <c r="R5">
        <v>0.1</v>
      </c>
      <c r="S5">
        <v>0</v>
      </c>
    </row>
    <row r="6" spans="1:22" x14ac:dyDescent="0.4">
      <c r="A6" s="2">
        <v>46248</v>
      </c>
      <c r="B6">
        <v>4.6479999999999997</v>
      </c>
      <c r="C6">
        <v>4.6989999999999998</v>
      </c>
      <c r="D6">
        <v>4.625</v>
      </c>
      <c r="E6">
        <v>4.694</v>
      </c>
      <c r="F6">
        <v>0.05</v>
      </c>
      <c r="G6">
        <v>1.08</v>
      </c>
      <c r="H6">
        <v>0</v>
      </c>
      <c r="L6" s="2">
        <v>46248</v>
      </c>
      <c r="M6">
        <v>4.157</v>
      </c>
      <c r="N6">
        <v>4.1779999999999999</v>
      </c>
      <c r="O6">
        <v>4.0979999999999999</v>
      </c>
      <c r="P6">
        <v>4.1749999999999998</v>
      </c>
      <c r="Q6">
        <v>0.03</v>
      </c>
      <c r="R6">
        <v>0.72</v>
      </c>
      <c r="S6">
        <v>0</v>
      </c>
    </row>
    <row r="7" spans="1:22" x14ac:dyDescent="0.4">
      <c r="A7" s="2">
        <v>46247</v>
      </c>
      <c r="B7">
        <v>4.6929999999999996</v>
      </c>
      <c r="C7">
        <v>4.6959999999999997</v>
      </c>
      <c r="D7">
        <v>4.6120000000000001</v>
      </c>
      <c r="E7">
        <v>4.6440000000000001</v>
      </c>
      <c r="F7">
        <v>-5.0999999999999997E-2</v>
      </c>
      <c r="G7">
        <v>-1.0900000000000001</v>
      </c>
      <c r="H7">
        <v>0</v>
      </c>
      <c r="L7" s="2">
        <v>46247</v>
      </c>
      <c r="M7">
        <v>4.2089999999999996</v>
      </c>
      <c r="N7">
        <v>4.2140000000000004</v>
      </c>
      <c r="O7">
        <v>4.1219999999999999</v>
      </c>
      <c r="P7">
        <v>4.1449999999999996</v>
      </c>
      <c r="Q7">
        <v>-0.06</v>
      </c>
      <c r="R7">
        <v>-1.43</v>
      </c>
      <c r="S7">
        <v>0</v>
      </c>
    </row>
    <row r="8" spans="1:22" x14ac:dyDescent="0.4">
      <c r="A8" s="2">
        <v>46246</v>
      </c>
      <c r="B8">
        <v>4.6950000000000003</v>
      </c>
      <c r="C8">
        <v>4.7210000000000001</v>
      </c>
      <c r="D8">
        <v>4.6399999999999997</v>
      </c>
      <c r="E8">
        <v>4.6950000000000003</v>
      </c>
      <c r="F8">
        <v>4.0000000000000001E-3</v>
      </c>
      <c r="G8">
        <v>0.09</v>
      </c>
      <c r="H8">
        <v>0</v>
      </c>
      <c r="L8" s="2">
        <v>46246</v>
      </c>
      <c r="M8">
        <v>4.226</v>
      </c>
      <c r="N8">
        <v>4.2300000000000004</v>
      </c>
      <c r="O8">
        <v>4.1630000000000003</v>
      </c>
      <c r="P8">
        <v>4.2050000000000001</v>
      </c>
      <c r="Q8">
        <v>-1.2999999999999999E-2</v>
      </c>
      <c r="R8">
        <v>-0.31</v>
      </c>
      <c r="S8">
        <v>0</v>
      </c>
    </row>
    <row r="9" spans="1:22" x14ac:dyDescent="0.4">
      <c r="A9" s="2">
        <v>46245</v>
      </c>
      <c r="B9">
        <v>4.7160000000000002</v>
      </c>
      <c r="C9">
        <v>4.7389999999999999</v>
      </c>
      <c r="D9">
        <v>4.6660000000000004</v>
      </c>
      <c r="E9">
        <v>4.6909999999999998</v>
      </c>
      <c r="F9">
        <v>-2.1000000000000001E-2</v>
      </c>
      <c r="G9">
        <v>-0.45</v>
      </c>
      <c r="H9">
        <v>0</v>
      </c>
      <c r="L9" s="2">
        <v>46245</v>
      </c>
      <c r="M9">
        <v>4.2510000000000003</v>
      </c>
      <c r="N9">
        <v>4.2679999999999998</v>
      </c>
      <c r="O9">
        <v>4.2069999999999999</v>
      </c>
      <c r="P9">
        <v>4.218</v>
      </c>
      <c r="Q9">
        <v>-3.3000000000000002E-2</v>
      </c>
      <c r="R9">
        <v>-0.78</v>
      </c>
      <c r="S9">
        <v>0</v>
      </c>
    </row>
    <row r="10" spans="1:22" x14ac:dyDescent="0.4">
      <c r="A10" s="2">
        <v>46244</v>
      </c>
      <c r="B10">
        <v>4.665</v>
      </c>
      <c r="C10">
        <v>4.7130000000000001</v>
      </c>
      <c r="D10">
        <v>4.6429999999999998</v>
      </c>
      <c r="E10">
        <v>4.7119999999999997</v>
      </c>
      <c r="F10">
        <v>6.0999999999999999E-2</v>
      </c>
      <c r="G10">
        <v>1.31</v>
      </c>
      <c r="H10">
        <v>0</v>
      </c>
      <c r="L10" s="2">
        <v>46244</v>
      </c>
      <c r="M10">
        <v>4.21</v>
      </c>
      <c r="N10">
        <v>4.2560000000000002</v>
      </c>
      <c r="O10">
        <v>4.2060000000000004</v>
      </c>
      <c r="P10">
        <v>4.2510000000000003</v>
      </c>
      <c r="Q10">
        <v>4.4999999999999998E-2</v>
      </c>
      <c r="R10">
        <v>1.07</v>
      </c>
      <c r="S10">
        <v>0</v>
      </c>
    </row>
    <row r="11" spans="1:22" x14ac:dyDescent="0.4">
      <c r="A11" s="2">
        <v>46241</v>
      </c>
      <c r="B11">
        <v>4.6840000000000002</v>
      </c>
      <c r="C11">
        <v>4.6920000000000002</v>
      </c>
      <c r="D11">
        <v>4.6070000000000002</v>
      </c>
      <c r="E11">
        <v>4.6509999999999998</v>
      </c>
      <c r="F11">
        <v>-3.3000000000000002E-2</v>
      </c>
      <c r="G11">
        <v>-0.7</v>
      </c>
      <c r="H11">
        <v>0</v>
      </c>
      <c r="L11" s="2">
        <v>46241</v>
      </c>
      <c r="M11">
        <v>4.258</v>
      </c>
      <c r="N11">
        <v>4.2640000000000002</v>
      </c>
      <c r="O11">
        <v>4.1619999999999999</v>
      </c>
      <c r="P11">
        <v>4.2060000000000004</v>
      </c>
      <c r="Q11">
        <v>-5.1999999999999998E-2</v>
      </c>
      <c r="R11">
        <v>-1.22</v>
      </c>
      <c r="S11">
        <v>0</v>
      </c>
    </row>
    <row r="12" spans="1:22" x14ac:dyDescent="0.4">
      <c r="A12" s="2">
        <v>46240</v>
      </c>
      <c r="B12">
        <v>4.6159999999999997</v>
      </c>
      <c r="C12">
        <v>4.6859999999999999</v>
      </c>
      <c r="D12">
        <v>4.6059999999999999</v>
      </c>
      <c r="E12">
        <v>4.6840000000000002</v>
      </c>
      <c r="F12">
        <v>6.4000000000000001E-2</v>
      </c>
      <c r="G12">
        <v>1.39</v>
      </c>
      <c r="H12">
        <v>0</v>
      </c>
      <c r="L12" s="2">
        <v>46240</v>
      </c>
      <c r="M12">
        <v>4.1890000000000001</v>
      </c>
      <c r="N12">
        <v>4.26</v>
      </c>
      <c r="O12">
        <v>4.1849999999999996</v>
      </c>
      <c r="P12">
        <v>4.258</v>
      </c>
      <c r="Q12">
        <v>6.4000000000000001E-2</v>
      </c>
      <c r="R12">
        <v>1.53</v>
      </c>
      <c r="S12">
        <v>0</v>
      </c>
    </row>
    <row r="13" spans="1:22" x14ac:dyDescent="0.4">
      <c r="A13" s="2">
        <v>46239</v>
      </c>
      <c r="B13">
        <v>4.6210000000000004</v>
      </c>
      <c r="C13">
        <v>4.6630000000000003</v>
      </c>
      <c r="D13">
        <v>4.5970000000000004</v>
      </c>
      <c r="E13">
        <v>4.62</v>
      </c>
      <c r="F13">
        <v>4.0000000000000001E-3</v>
      </c>
      <c r="G13">
        <v>0.09</v>
      </c>
      <c r="H13">
        <v>0</v>
      </c>
      <c r="L13" s="2">
        <v>46239</v>
      </c>
      <c r="M13">
        <v>4.2039999999999997</v>
      </c>
      <c r="N13">
        <v>4.2729999999999997</v>
      </c>
      <c r="O13">
        <v>4.1829999999999998</v>
      </c>
      <c r="P13">
        <v>4.194</v>
      </c>
      <c r="Q13">
        <v>-6.0000000000000001E-3</v>
      </c>
      <c r="R13">
        <v>-0.14000000000000001</v>
      </c>
      <c r="S13">
        <v>0</v>
      </c>
    </row>
    <row r="14" spans="1:22" x14ac:dyDescent="0.4">
      <c r="A14" s="2">
        <v>46238</v>
      </c>
      <c r="B14">
        <v>4.6790000000000003</v>
      </c>
      <c r="C14">
        <v>4.7119999999999997</v>
      </c>
      <c r="D14">
        <v>4.6100000000000003</v>
      </c>
      <c r="E14">
        <v>4.6159999999999997</v>
      </c>
      <c r="F14">
        <v>-6.4000000000000001E-2</v>
      </c>
      <c r="G14">
        <v>-1.37</v>
      </c>
      <c r="H14">
        <v>0</v>
      </c>
      <c r="L14" s="2">
        <v>46238</v>
      </c>
      <c r="M14">
        <v>4.25</v>
      </c>
      <c r="N14">
        <v>4.2750000000000004</v>
      </c>
      <c r="O14">
        <v>4.1890000000000001</v>
      </c>
      <c r="P14">
        <v>4.2</v>
      </c>
      <c r="Q14">
        <v>-4.2999999999999997E-2</v>
      </c>
      <c r="R14">
        <v>-1.01</v>
      </c>
      <c r="S14">
        <v>0</v>
      </c>
    </row>
    <row r="15" spans="1:22" x14ac:dyDescent="0.4">
      <c r="A15" s="2">
        <v>46237</v>
      </c>
      <c r="B15">
        <v>4.6989999999999998</v>
      </c>
      <c r="C15">
        <v>4.7060000000000004</v>
      </c>
      <c r="D15">
        <v>4.6680000000000001</v>
      </c>
      <c r="E15">
        <v>4.68</v>
      </c>
      <c r="F15">
        <v>-5.8999999999999997E-2</v>
      </c>
      <c r="G15">
        <v>-1.24</v>
      </c>
      <c r="H15">
        <v>0</v>
      </c>
      <c r="L15" s="2">
        <v>46237</v>
      </c>
      <c r="M15">
        <v>4.306</v>
      </c>
      <c r="N15">
        <v>4.306</v>
      </c>
      <c r="O15">
        <v>4.2279999999999998</v>
      </c>
      <c r="P15">
        <v>4.2430000000000003</v>
      </c>
      <c r="Q15">
        <v>-0.05</v>
      </c>
      <c r="R15">
        <v>-1.1599999999999999</v>
      </c>
      <c r="S15">
        <v>0</v>
      </c>
    </row>
    <row r="16" spans="1:22" x14ac:dyDescent="0.4">
      <c r="A16" s="2">
        <v>46234</v>
      </c>
      <c r="B16">
        <v>4.6790000000000003</v>
      </c>
      <c r="C16">
        <v>4.75</v>
      </c>
      <c r="D16">
        <v>4.6470000000000002</v>
      </c>
      <c r="E16">
        <v>4.7389999999999999</v>
      </c>
      <c r="F16">
        <v>6.5000000000000002E-2</v>
      </c>
      <c r="G16">
        <v>1.39</v>
      </c>
      <c r="H16">
        <v>0</v>
      </c>
      <c r="L16" s="2">
        <v>46234</v>
      </c>
      <c r="M16">
        <v>4.2560000000000002</v>
      </c>
      <c r="N16">
        <v>4.3140000000000001</v>
      </c>
      <c r="O16">
        <v>4.2350000000000003</v>
      </c>
      <c r="P16">
        <v>4.2930000000000001</v>
      </c>
      <c r="Q16">
        <v>4.2000000000000003E-2</v>
      </c>
      <c r="R16">
        <v>0.99</v>
      </c>
      <c r="S16">
        <v>0</v>
      </c>
    </row>
    <row r="17" spans="1:19" x14ac:dyDescent="0.4">
      <c r="A17" s="2">
        <v>46233</v>
      </c>
      <c r="B17">
        <v>4.6769999999999996</v>
      </c>
      <c r="C17">
        <v>4.7149999999999999</v>
      </c>
      <c r="D17">
        <v>4.6509999999999998</v>
      </c>
      <c r="E17">
        <v>4.6740000000000004</v>
      </c>
      <c r="F17">
        <v>-6.0000000000000001E-3</v>
      </c>
      <c r="G17">
        <v>-0.13</v>
      </c>
      <c r="H17">
        <v>0</v>
      </c>
      <c r="L17" s="2">
        <v>46233</v>
      </c>
      <c r="M17">
        <v>4.2750000000000004</v>
      </c>
      <c r="N17">
        <v>4.306</v>
      </c>
      <c r="O17">
        <v>4.2089999999999996</v>
      </c>
      <c r="P17">
        <v>4.2510000000000003</v>
      </c>
      <c r="Q17">
        <v>-2.4E-2</v>
      </c>
      <c r="R17">
        <v>-0.56000000000000005</v>
      </c>
      <c r="S17">
        <v>0</v>
      </c>
    </row>
    <row r="18" spans="1:19" x14ac:dyDescent="0.4">
      <c r="A18" s="2">
        <v>46232</v>
      </c>
      <c r="B18">
        <v>4.6210000000000004</v>
      </c>
      <c r="C18">
        <v>4.6989999999999998</v>
      </c>
      <c r="D18">
        <v>4.609</v>
      </c>
      <c r="E18">
        <v>4.68</v>
      </c>
      <c r="F18">
        <v>7.2999999999999995E-2</v>
      </c>
      <c r="G18">
        <v>1.58</v>
      </c>
      <c r="H18">
        <v>0</v>
      </c>
      <c r="L18" s="2">
        <v>46232</v>
      </c>
      <c r="M18">
        <v>4.2949999999999999</v>
      </c>
      <c r="N18">
        <v>4.3390000000000004</v>
      </c>
      <c r="O18">
        <v>4.2169999999999996</v>
      </c>
      <c r="P18">
        <v>4.2750000000000004</v>
      </c>
      <c r="Q18">
        <v>-0.02</v>
      </c>
      <c r="R18">
        <v>-0.47</v>
      </c>
      <c r="S18">
        <v>0</v>
      </c>
    </row>
    <row r="19" spans="1:19" x14ac:dyDescent="0.4">
      <c r="A19" s="2">
        <v>46231</v>
      </c>
      <c r="B19">
        <v>4.6470000000000002</v>
      </c>
      <c r="C19">
        <v>4.649</v>
      </c>
      <c r="D19">
        <v>4.5869999999999997</v>
      </c>
      <c r="E19">
        <v>4.6070000000000002</v>
      </c>
      <c r="F19">
        <v>-4.2999999999999997E-2</v>
      </c>
      <c r="G19">
        <v>-0.92</v>
      </c>
      <c r="H19">
        <v>0</v>
      </c>
      <c r="L19" s="2">
        <v>46231</v>
      </c>
      <c r="M19">
        <v>4.3280000000000003</v>
      </c>
      <c r="N19">
        <v>4.33</v>
      </c>
      <c r="O19">
        <v>4.2560000000000002</v>
      </c>
      <c r="P19">
        <v>4.2949999999999999</v>
      </c>
      <c r="Q19">
        <v>-3.2000000000000001E-2</v>
      </c>
      <c r="R19">
        <v>-0.74</v>
      </c>
      <c r="S19">
        <v>0</v>
      </c>
    </row>
    <row r="20" spans="1:19" x14ac:dyDescent="0.4">
      <c r="A20" s="2">
        <v>46230</v>
      </c>
      <c r="B20">
        <v>4.6790000000000003</v>
      </c>
      <c r="C20">
        <v>4.6859999999999999</v>
      </c>
      <c r="D20">
        <v>4.6289999999999996</v>
      </c>
      <c r="E20">
        <v>4.6500000000000004</v>
      </c>
      <c r="F20">
        <v>-2.9000000000000001E-2</v>
      </c>
      <c r="G20">
        <v>-0.62</v>
      </c>
      <c r="H20">
        <v>0</v>
      </c>
      <c r="L20" s="2">
        <v>46230</v>
      </c>
      <c r="M20">
        <v>4.335</v>
      </c>
      <c r="N20">
        <v>4.3460000000000001</v>
      </c>
      <c r="O20">
        <v>4.2919999999999998</v>
      </c>
      <c r="P20">
        <v>4.327</v>
      </c>
      <c r="Q20">
        <v>-8.0000000000000002E-3</v>
      </c>
      <c r="R20">
        <v>-0.18</v>
      </c>
      <c r="S20">
        <v>0</v>
      </c>
    </row>
    <row r="21" spans="1:19" x14ac:dyDescent="0.4">
      <c r="A21" s="2">
        <v>46227</v>
      </c>
      <c r="B21">
        <v>4.7039999999999997</v>
      </c>
      <c r="C21">
        <v>4.7160000000000002</v>
      </c>
      <c r="D21">
        <v>4.6509999999999998</v>
      </c>
      <c r="E21">
        <v>4.6790000000000003</v>
      </c>
      <c r="F21">
        <v>-1.6E-2</v>
      </c>
      <c r="G21">
        <v>-0.34</v>
      </c>
      <c r="H21">
        <v>0</v>
      </c>
      <c r="L21" s="2">
        <v>46227</v>
      </c>
      <c r="M21">
        <v>4.3630000000000004</v>
      </c>
      <c r="N21">
        <v>4.3760000000000003</v>
      </c>
      <c r="O21">
        <v>4.3070000000000004</v>
      </c>
      <c r="P21">
        <v>4.335</v>
      </c>
      <c r="Q21">
        <v>-1.6E-2</v>
      </c>
      <c r="R21">
        <v>-0.37</v>
      </c>
      <c r="S21">
        <v>0</v>
      </c>
    </row>
    <row r="22" spans="1:19" x14ac:dyDescent="0.4">
      <c r="A22" s="2">
        <v>46226</v>
      </c>
      <c r="B22">
        <v>4.665</v>
      </c>
      <c r="C22">
        <v>4.7149999999999999</v>
      </c>
      <c r="D22">
        <v>4.6550000000000002</v>
      </c>
      <c r="E22">
        <v>4.6950000000000003</v>
      </c>
      <c r="F22">
        <v>3.7999999999999999E-2</v>
      </c>
      <c r="G22">
        <v>0.82</v>
      </c>
      <c r="H22">
        <v>0</v>
      </c>
      <c r="L22" s="2">
        <v>46226</v>
      </c>
      <c r="M22">
        <v>4.3090000000000002</v>
      </c>
      <c r="N22">
        <v>4.37</v>
      </c>
      <c r="O22">
        <v>4.3040000000000003</v>
      </c>
      <c r="P22">
        <v>4.351</v>
      </c>
      <c r="Q22">
        <v>5.0999999999999997E-2</v>
      </c>
      <c r="R22">
        <v>1.19</v>
      </c>
      <c r="S22">
        <v>0</v>
      </c>
    </row>
    <row r="23" spans="1:19" x14ac:dyDescent="0.4">
      <c r="A23" s="2">
        <v>46225</v>
      </c>
      <c r="B23">
        <v>4.6319999999999997</v>
      </c>
      <c r="C23">
        <v>4.6660000000000004</v>
      </c>
      <c r="D23">
        <v>4.6260000000000003</v>
      </c>
      <c r="E23">
        <v>4.657</v>
      </c>
      <c r="F23">
        <v>2.8000000000000001E-2</v>
      </c>
      <c r="G23">
        <v>0.6</v>
      </c>
      <c r="H23">
        <v>0</v>
      </c>
      <c r="L23" s="2">
        <v>46225</v>
      </c>
      <c r="M23">
        <v>4.266</v>
      </c>
      <c r="N23">
        <v>4.3129999999999997</v>
      </c>
      <c r="O23">
        <v>4.2549999999999999</v>
      </c>
      <c r="P23">
        <v>4.3</v>
      </c>
      <c r="Q23">
        <v>3.4000000000000002E-2</v>
      </c>
      <c r="R23">
        <v>0.8</v>
      </c>
      <c r="S23">
        <v>0</v>
      </c>
    </row>
    <row r="24" spans="1:19" x14ac:dyDescent="0.4">
      <c r="A24" s="2">
        <v>46224</v>
      </c>
      <c r="B24">
        <v>4.6040000000000001</v>
      </c>
      <c r="C24">
        <v>4.6399999999999997</v>
      </c>
      <c r="D24">
        <v>4.585</v>
      </c>
      <c r="E24">
        <v>4.6289999999999996</v>
      </c>
      <c r="F24">
        <v>3.5000000000000003E-2</v>
      </c>
      <c r="G24">
        <v>0.76</v>
      </c>
      <c r="H24">
        <v>0</v>
      </c>
      <c r="L24" s="2">
        <v>46224</v>
      </c>
      <c r="M24">
        <v>4.2229999999999999</v>
      </c>
      <c r="N24">
        <v>4.2679999999999998</v>
      </c>
      <c r="O24">
        <v>4.1980000000000004</v>
      </c>
      <c r="P24">
        <v>4.266</v>
      </c>
      <c r="Q24">
        <v>5.5E-2</v>
      </c>
      <c r="R24">
        <v>1.31</v>
      </c>
      <c r="S24">
        <v>0</v>
      </c>
    </row>
    <row r="25" spans="1:19" x14ac:dyDescent="0.4">
      <c r="A25" s="2">
        <v>46223</v>
      </c>
      <c r="B25">
        <v>4.5750000000000002</v>
      </c>
      <c r="C25">
        <v>4.6100000000000003</v>
      </c>
      <c r="D25">
        <v>4.5460000000000003</v>
      </c>
      <c r="E25">
        <v>4.5940000000000003</v>
      </c>
      <c r="F25">
        <v>4.3999999999999997E-2</v>
      </c>
      <c r="G25">
        <v>0.97</v>
      </c>
      <c r="H25">
        <v>0</v>
      </c>
      <c r="L25" s="2">
        <v>46223</v>
      </c>
      <c r="M25">
        <v>4.181</v>
      </c>
      <c r="N25">
        <v>4.24</v>
      </c>
      <c r="O25">
        <v>4.1749999999999998</v>
      </c>
      <c r="P25">
        <v>4.2110000000000003</v>
      </c>
      <c r="Q25">
        <v>0.03</v>
      </c>
      <c r="R25">
        <v>0.72</v>
      </c>
      <c r="S25">
        <v>0</v>
      </c>
    </row>
    <row r="26" spans="1:19" x14ac:dyDescent="0.4">
      <c r="A26" s="2">
        <v>46220</v>
      </c>
      <c r="B26">
        <v>4.5609999999999999</v>
      </c>
      <c r="C26">
        <v>4.5679999999999996</v>
      </c>
      <c r="D26">
        <v>4.51</v>
      </c>
      <c r="E26">
        <v>4.55</v>
      </c>
      <c r="F26">
        <v>-5.0000000000000001E-3</v>
      </c>
      <c r="G26">
        <v>-0.11</v>
      </c>
      <c r="H26">
        <v>0</v>
      </c>
      <c r="L26" s="2">
        <v>46220</v>
      </c>
      <c r="M26">
        <v>4.1529999999999996</v>
      </c>
      <c r="N26">
        <v>4.1849999999999996</v>
      </c>
      <c r="O26">
        <v>4.1180000000000003</v>
      </c>
      <c r="P26">
        <v>4.181</v>
      </c>
      <c r="Q26">
        <v>3.7999999999999999E-2</v>
      </c>
      <c r="R26">
        <v>0.92</v>
      </c>
      <c r="S26">
        <v>0</v>
      </c>
    </row>
    <row r="27" spans="1:19" x14ac:dyDescent="0.4">
      <c r="A27" s="2">
        <v>46219</v>
      </c>
      <c r="B27">
        <v>4.55</v>
      </c>
      <c r="C27">
        <v>4.5970000000000004</v>
      </c>
      <c r="D27">
        <v>4.55</v>
      </c>
      <c r="E27">
        <v>4.5549999999999997</v>
      </c>
      <c r="F27">
        <v>5.0000000000000001E-3</v>
      </c>
      <c r="G27">
        <v>0.11</v>
      </c>
      <c r="H27">
        <v>0</v>
      </c>
      <c r="L27" s="2">
        <v>46219</v>
      </c>
      <c r="M27">
        <v>4.1449999999999996</v>
      </c>
      <c r="N27">
        <v>4.1790000000000003</v>
      </c>
      <c r="O27">
        <v>4.1429999999999998</v>
      </c>
      <c r="P27">
        <v>4.1429999999999998</v>
      </c>
      <c r="Q27">
        <v>6.0000000000000001E-3</v>
      </c>
      <c r="R27">
        <v>0.15</v>
      </c>
      <c r="S27">
        <v>0</v>
      </c>
    </row>
    <row r="28" spans="1:19" x14ac:dyDescent="0.4">
      <c r="A28" s="2">
        <v>46218</v>
      </c>
      <c r="B28">
        <v>4.59</v>
      </c>
      <c r="C28">
        <v>4.6180000000000003</v>
      </c>
      <c r="D28">
        <v>4.5380000000000003</v>
      </c>
      <c r="E28">
        <v>4.55</v>
      </c>
      <c r="F28">
        <v>-4.2000000000000003E-2</v>
      </c>
      <c r="G28">
        <v>-0.91</v>
      </c>
      <c r="H28">
        <v>0</v>
      </c>
      <c r="L28" s="2">
        <v>46218</v>
      </c>
      <c r="M28">
        <v>4.202</v>
      </c>
      <c r="N28">
        <v>4.2329999999999997</v>
      </c>
      <c r="O28">
        <v>4.1219999999999999</v>
      </c>
      <c r="P28">
        <v>4.1369999999999996</v>
      </c>
      <c r="Q28">
        <v>-6.0999999999999999E-2</v>
      </c>
      <c r="R28">
        <v>-1.45</v>
      </c>
      <c r="S28">
        <v>0</v>
      </c>
    </row>
    <row r="29" spans="1:19" x14ac:dyDescent="0.4">
      <c r="A29" s="2">
        <v>46217</v>
      </c>
      <c r="B29">
        <v>4.625</v>
      </c>
      <c r="C29">
        <v>4.6399999999999997</v>
      </c>
      <c r="D29">
        <v>4.5229999999999997</v>
      </c>
      <c r="E29">
        <v>4.5919999999999996</v>
      </c>
      <c r="F29">
        <v>-3.3000000000000002E-2</v>
      </c>
      <c r="G29">
        <v>-0.71</v>
      </c>
      <c r="H29">
        <v>0</v>
      </c>
      <c r="L29" s="2">
        <v>46217</v>
      </c>
      <c r="M29">
        <v>4.2859999999999996</v>
      </c>
      <c r="N29">
        <v>4.3070000000000004</v>
      </c>
      <c r="O29">
        <v>4.1429999999999998</v>
      </c>
      <c r="P29">
        <v>4.1980000000000004</v>
      </c>
      <c r="Q29">
        <v>-8.7999999999999995E-2</v>
      </c>
      <c r="R29">
        <v>-2.0499999999999998</v>
      </c>
      <c r="S29">
        <v>0</v>
      </c>
    </row>
    <row r="30" spans="1:19" x14ac:dyDescent="0.4">
      <c r="A30" s="2">
        <v>46216</v>
      </c>
      <c r="B30">
        <v>4.5629999999999997</v>
      </c>
      <c r="C30">
        <v>4.625</v>
      </c>
      <c r="D30">
        <v>4.5629999999999997</v>
      </c>
      <c r="E30">
        <v>4.625</v>
      </c>
      <c r="F30">
        <v>6.2E-2</v>
      </c>
      <c r="G30">
        <v>1.36</v>
      </c>
      <c r="H30">
        <v>0</v>
      </c>
      <c r="L30" s="2">
        <v>46216</v>
      </c>
      <c r="M30">
        <v>4.21</v>
      </c>
      <c r="N30">
        <v>4.29</v>
      </c>
      <c r="O30">
        <v>4.21</v>
      </c>
      <c r="P30">
        <v>4.2859999999999996</v>
      </c>
      <c r="Q30">
        <v>7.5999999999999998E-2</v>
      </c>
      <c r="R30">
        <v>1.81</v>
      </c>
      <c r="S30">
        <v>0</v>
      </c>
    </row>
    <row r="31" spans="1:19" x14ac:dyDescent="0.4">
      <c r="A31" s="2">
        <v>46213</v>
      </c>
      <c r="B31">
        <v>4.5549999999999997</v>
      </c>
      <c r="C31">
        <v>4.5730000000000004</v>
      </c>
      <c r="D31">
        <v>4.524</v>
      </c>
      <c r="E31">
        <v>4.5629999999999997</v>
      </c>
      <c r="F31">
        <v>8.0000000000000002E-3</v>
      </c>
      <c r="G31">
        <v>0.18</v>
      </c>
      <c r="H31">
        <v>0</v>
      </c>
      <c r="L31" s="2">
        <v>46213</v>
      </c>
      <c r="M31">
        <v>4.1829999999999998</v>
      </c>
      <c r="N31">
        <v>4.2140000000000004</v>
      </c>
      <c r="O31">
        <v>4.1559999999999997</v>
      </c>
      <c r="P31">
        <v>4.21</v>
      </c>
      <c r="Q31">
        <v>2.7E-2</v>
      </c>
      <c r="R31">
        <v>0.65</v>
      </c>
      <c r="S31">
        <v>0</v>
      </c>
    </row>
    <row r="32" spans="1:19" x14ac:dyDescent="0.4">
      <c r="A32" s="2">
        <v>46212</v>
      </c>
      <c r="B32">
        <v>4.5810000000000004</v>
      </c>
      <c r="C32">
        <v>4.5960000000000001</v>
      </c>
      <c r="D32">
        <v>4.5279999999999996</v>
      </c>
      <c r="E32">
        <v>4.5549999999999997</v>
      </c>
      <c r="F32">
        <v>-2.5999999999999999E-2</v>
      </c>
      <c r="G32">
        <v>-0.56999999999999995</v>
      </c>
      <c r="H32">
        <v>0</v>
      </c>
      <c r="L32" s="2">
        <v>46212</v>
      </c>
      <c r="M32">
        <v>4.2370000000000001</v>
      </c>
      <c r="N32">
        <v>4.2370000000000001</v>
      </c>
      <c r="O32">
        <v>4.1539999999999999</v>
      </c>
      <c r="P32">
        <v>4.1829999999999998</v>
      </c>
      <c r="Q32">
        <v>-3.6999999999999998E-2</v>
      </c>
      <c r="R32">
        <v>-0.88</v>
      </c>
      <c r="S32">
        <v>0</v>
      </c>
    </row>
    <row r="33" spans="1:19" x14ac:dyDescent="0.4">
      <c r="A33" s="2">
        <v>46211</v>
      </c>
      <c r="B33">
        <v>4.5579999999999998</v>
      </c>
      <c r="C33">
        <v>4.5979999999999999</v>
      </c>
      <c r="D33">
        <v>4.5430000000000001</v>
      </c>
      <c r="E33">
        <v>4.5810000000000004</v>
      </c>
      <c r="F33">
        <v>2.9000000000000001E-2</v>
      </c>
      <c r="G33">
        <v>0.64</v>
      </c>
      <c r="H33">
        <v>0</v>
      </c>
      <c r="L33" s="2">
        <v>46211</v>
      </c>
      <c r="M33">
        <v>4.1950000000000003</v>
      </c>
      <c r="N33">
        <v>4.2350000000000003</v>
      </c>
      <c r="O33">
        <v>4.1790000000000003</v>
      </c>
      <c r="P33">
        <v>4.22</v>
      </c>
      <c r="Q33">
        <v>3.1E-2</v>
      </c>
      <c r="R33">
        <v>0.74</v>
      </c>
      <c r="S33">
        <v>0</v>
      </c>
    </row>
    <row r="34" spans="1:19" x14ac:dyDescent="0.4">
      <c r="A34" s="2">
        <v>46210</v>
      </c>
      <c r="B34">
        <v>4.4749999999999996</v>
      </c>
      <c r="C34">
        <v>4.5529999999999999</v>
      </c>
      <c r="D34">
        <v>4.4720000000000004</v>
      </c>
      <c r="E34">
        <v>4.5519999999999996</v>
      </c>
      <c r="F34">
        <v>8.2000000000000003E-2</v>
      </c>
      <c r="G34">
        <v>1.83</v>
      </c>
      <c r="H34">
        <v>0</v>
      </c>
      <c r="L34" s="2">
        <v>46210</v>
      </c>
      <c r="M34">
        <v>4.12</v>
      </c>
      <c r="N34">
        <v>4.1909999999999998</v>
      </c>
      <c r="O34">
        <v>4.1180000000000003</v>
      </c>
      <c r="P34">
        <v>4.1890000000000001</v>
      </c>
      <c r="Q34">
        <v>7.4999999999999997E-2</v>
      </c>
      <c r="R34">
        <v>1.82</v>
      </c>
      <c r="S34">
        <v>0</v>
      </c>
    </row>
    <row r="35" spans="1:19" x14ac:dyDescent="0.4">
      <c r="A35" s="2">
        <v>46209</v>
      </c>
      <c r="B35">
        <v>4.4829999999999997</v>
      </c>
      <c r="C35">
        <v>4.492</v>
      </c>
      <c r="D35">
        <v>4.4539999999999997</v>
      </c>
      <c r="E35">
        <v>4.47</v>
      </c>
      <c r="F35">
        <v>-1.7000000000000001E-2</v>
      </c>
      <c r="G35">
        <v>-0.38</v>
      </c>
      <c r="H35">
        <v>0</v>
      </c>
      <c r="L35" s="2">
        <v>46209</v>
      </c>
      <c r="M35">
        <v>4.141</v>
      </c>
      <c r="N35">
        <v>4.1449999999999996</v>
      </c>
      <c r="O35">
        <v>4.1040000000000001</v>
      </c>
      <c r="P35">
        <v>4.1139999999999999</v>
      </c>
      <c r="Q35">
        <v>-2.7E-2</v>
      </c>
      <c r="R35">
        <v>-0.65</v>
      </c>
      <c r="S35">
        <v>0</v>
      </c>
    </row>
    <row r="36" spans="1:19" x14ac:dyDescent="0.4">
      <c r="A36" s="2">
        <v>46205</v>
      </c>
      <c r="B36">
        <v>4.4820000000000002</v>
      </c>
      <c r="C36">
        <v>4.5049999999999999</v>
      </c>
      <c r="D36">
        <v>4.4539999999999997</v>
      </c>
      <c r="E36">
        <v>4.4870000000000001</v>
      </c>
      <c r="F36">
        <v>7.0000000000000001E-3</v>
      </c>
      <c r="G36">
        <v>0.16</v>
      </c>
      <c r="H36">
        <v>0</v>
      </c>
      <c r="L36" s="2">
        <v>46205</v>
      </c>
      <c r="M36">
        <v>4.181</v>
      </c>
      <c r="N36">
        <v>4.1970000000000001</v>
      </c>
      <c r="O36">
        <v>4.1040000000000001</v>
      </c>
      <c r="P36">
        <v>4.141</v>
      </c>
      <c r="Q36">
        <v>-0.04</v>
      </c>
      <c r="R36">
        <v>-0.96</v>
      </c>
      <c r="S36">
        <v>0</v>
      </c>
    </row>
    <row r="37" spans="1:19" x14ac:dyDescent="0.4">
      <c r="A37" s="2">
        <v>46204</v>
      </c>
      <c r="B37">
        <v>4.4669999999999996</v>
      </c>
      <c r="C37">
        <v>4.5010000000000003</v>
      </c>
      <c r="D37">
        <v>4.4550000000000001</v>
      </c>
      <c r="E37">
        <v>4.4800000000000004</v>
      </c>
      <c r="F37">
        <v>1.2999999999999999E-2</v>
      </c>
      <c r="G37">
        <v>0.28999999999999998</v>
      </c>
      <c r="H37">
        <v>0</v>
      </c>
      <c r="L37" s="2">
        <v>46204</v>
      </c>
      <c r="M37">
        <v>4.1779999999999999</v>
      </c>
      <c r="N37">
        <v>4.1989999999999998</v>
      </c>
      <c r="O37">
        <v>4.133</v>
      </c>
      <c r="P37">
        <v>4.181</v>
      </c>
      <c r="Q37">
        <v>5.0000000000000001E-3</v>
      </c>
      <c r="R37">
        <v>0.12</v>
      </c>
      <c r="S37">
        <v>0</v>
      </c>
    </row>
    <row r="38" spans="1:19" x14ac:dyDescent="0.4">
      <c r="A38" s="2">
        <v>46203</v>
      </c>
      <c r="B38">
        <v>4.3780000000000001</v>
      </c>
      <c r="C38">
        <v>4.4669999999999996</v>
      </c>
      <c r="D38">
        <v>4.3639999999999999</v>
      </c>
      <c r="E38">
        <v>4.4669999999999996</v>
      </c>
      <c r="F38">
        <v>0.09</v>
      </c>
      <c r="G38">
        <v>2.06</v>
      </c>
      <c r="H38">
        <v>0</v>
      </c>
      <c r="L38" s="2">
        <v>46203</v>
      </c>
      <c r="M38">
        <v>4.1230000000000002</v>
      </c>
      <c r="N38">
        <v>4.1779999999999999</v>
      </c>
      <c r="O38">
        <v>4.1040000000000001</v>
      </c>
      <c r="P38">
        <v>4.1760000000000002</v>
      </c>
      <c r="Q38">
        <v>6.7000000000000004E-2</v>
      </c>
      <c r="R38">
        <v>1.63</v>
      </c>
      <c r="S38">
        <v>0</v>
      </c>
    </row>
    <row r="39" spans="1:19" x14ac:dyDescent="0.4">
      <c r="A39" s="2">
        <v>46202</v>
      </c>
      <c r="B39">
        <v>4.3639999999999999</v>
      </c>
      <c r="C39">
        <v>4.3940000000000001</v>
      </c>
      <c r="D39">
        <v>4.3639999999999999</v>
      </c>
      <c r="E39">
        <v>4.3769999999999998</v>
      </c>
      <c r="F39">
        <v>5.0000000000000001E-3</v>
      </c>
      <c r="G39">
        <v>0.11</v>
      </c>
      <c r="H39">
        <v>0</v>
      </c>
      <c r="L39" s="2">
        <v>46202</v>
      </c>
      <c r="M39">
        <v>4.0880000000000001</v>
      </c>
      <c r="N39">
        <v>4.1230000000000002</v>
      </c>
      <c r="O39">
        <v>4.0880000000000001</v>
      </c>
      <c r="P39">
        <v>4.109</v>
      </c>
      <c r="Q39">
        <v>1.4999999999999999E-2</v>
      </c>
      <c r="R39">
        <v>0.37</v>
      </c>
      <c r="S39">
        <v>0</v>
      </c>
    </row>
    <row r="40" spans="1:19" x14ac:dyDescent="0.4">
      <c r="A40" s="2">
        <v>46199</v>
      </c>
      <c r="B40">
        <v>4.4039999999999999</v>
      </c>
      <c r="C40">
        <v>4.4119999999999999</v>
      </c>
      <c r="D40">
        <v>4.367</v>
      </c>
      <c r="E40">
        <v>4.3719999999999999</v>
      </c>
      <c r="F40">
        <v>-2.3E-2</v>
      </c>
      <c r="G40">
        <v>-0.52</v>
      </c>
      <c r="H40">
        <v>0</v>
      </c>
      <c r="L40" s="2">
        <v>46199</v>
      </c>
      <c r="M40">
        <v>4.133</v>
      </c>
      <c r="N40">
        <v>4.1369999999999996</v>
      </c>
      <c r="O40">
        <v>4.07</v>
      </c>
      <c r="P40">
        <v>4.0940000000000003</v>
      </c>
      <c r="Q40">
        <v>-3.1E-2</v>
      </c>
      <c r="R40">
        <v>-0.75</v>
      </c>
      <c r="S40">
        <v>0</v>
      </c>
    </row>
    <row r="41" spans="1:19" x14ac:dyDescent="0.4">
      <c r="A41" s="2">
        <v>46198</v>
      </c>
      <c r="B41">
        <v>4.4000000000000004</v>
      </c>
      <c r="C41">
        <v>4.423</v>
      </c>
      <c r="D41">
        <v>4.3639999999999999</v>
      </c>
      <c r="E41">
        <v>4.3949999999999996</v>
      </c>
      <c r="F41">
        <v>1E-3</v>
      </c>
      <c r="G41">
        <v>0.02</v>
      </c>
      <c r="H41">
        <v>0</v>
      </c>
      <c r="L41" s="2">
        <v>46198</v>
      </c>
      <c r="M41">
        <v>4.1559999999999997</v>
      </c>
      <c r="N41">
        <v>4.17</v>
      </c>
      <c r="O41">
        <v>4.0940000000000003</v>
      </c>
      <c r="P41">
        <v>4.125</v>
      </c>
      <c r="Q41">
        <v>-2.5000000000000001E-2</v>
      </c>
      <c r="R41">
        <v>-0.6</v>
      </c>
      <c r="S41">
        <v>0</v>
      </c>
    </row>
    <row r="42" spans="1:19" x14ac:dyDescent="0.4">
      <c r="A42" s="2">
        <v>46197</v>
      </c>
      <c r="B42">
        <v>4.4950000000000001</v>
      </c>
      <c r="C42">
        <v>4.5049999999999999</v>
      </c>
      <c r="D42">
        <v>4.3940000000000001</v>
      </c>
      <c r="E42">
        <v>4.3940000000000001</v>
      </c>
      <c r="F42">
        <v>-0.104</v>
      </c>
      <c r="G42">
        <v>-2.31</v>
      </c>
      <c r="H42">
        <v>0</v>
      </c>
      <c r="L42" s="2">
        <v>46197</v>
      </c>
      <c r="M42">
        <v>4.1950000000000003</v>
      </c>
      <c r="N42">
        <v>4.218</v>
      </c>
      <c r="O42">
        <v>4.141</v>
      </c>
      <c r="P42">
        <v>4.1500000000000004</v>
      </c>
      <c r="Q42">
        <v>-0.05</v>
      </c>
      <c r="R42">
        <v>-1.19</v>
      </c>
      <c r="S42">
        <v>0</v>
      </c>
    </row>
    <row r="43" spans="1:19" x14ac:dyDescent="0.4">
      <c r="A43" s="2">
        <v>46196</v>
      </c>
      <c r="B43">
        <v>4.5069999999999997</v>
      </c>
      <c r="C43">
        <v>4.5149999999999997</v>
      </c>
      <c r="D43">
        <v>4.476</v>
      </c>
      <c r="E43">
        <v>4.4980000000000002</v>
      </c>
      <c r="F43">
        <v>-1.2999999999999999E-2</v>
      </c>
      <c r="G43">
        <v>-0.28999999999999998</v>
      </c>
      <c r="H43">
        <v>0</v>
      </c>
      <c r="L43" s="2">
        <v>46196</v>
      </c>
      <c r="M43">
        <v>4.2300000000000004</v>
      </c>
      <c r="N43">
        <v>4.2370000000000001</v>
      </c>
      <c r="O43">
        <v>4.181</v>
      </c>
      <c r="P43">
        <v>4.2</v>
      </c>
      <c r="Q43">
        <v>-2.8000000000000001E-2</v>
      </c>
      <c r="R43">
        <v>-0.66</v>
      </c>
      <c r="S43">
        <v>0</v>
      </c>
    </row>
    <row r="44" spans="1:19" x14ac:dyDescent="0.4">
      <c r="A44" s="2">
        <v>46195</v>
      </c>
      <c r="B44">
        <v>4.4610000000000003</v>
      </c>
      <c r="C44">
        <v>4.5149999999999997</v>
      </c>
      <c r="D44">
        <v>4.4610000000000003</v>
      </c>
      <c r="E44">
        <v>4.5110000000000001</v>
      </c>
      <c r="F44">
        <v>5.3999999999999999E-2</v>
      </c>
      <c r="G44">
        <v>1.21</v>
      </c>
      <c r="H44">
        <v>0</v>
      </c>
      <c r="L44" s="2">
        <v>46195</v>
      </c>
      <c r="M44">
        <v>4.194</v>
      </c>
      <c r="N44">
        <v>4.2409999999999997</v>
      </c>
      <c r="O44">
        <v>4.1900000000000004</v>
      </c>
      <c r="P44">
        <v>4.2279999999999998</v>
      </c>
      <c r="Q44">
        <v>4.7E-2</v>
      </c>
      <c r="R44">
        <v>1.1200000000000001</v>
      </c>
      <c r="S44">
        <v>0</v>
      </c>
    </row>
    <row r="45" spans="1:19" x14ac:dyDescent="0.4">
      <c r="A45" s="2">
        <v>46191</v>
      </c>
      <c r="B45">
        <v>4.4850000000000003</v>
      </c>
      <c r="C45">
        <v>4.4850000000000003</v>
      </c>
      <c r="D45">
        <v>4.4189999999999996</v>
      </c>
      <c r="E45">
        <v>4.4569999999999999</v>
      </c>
      <c r="F45">
        <v>-3.4000000000000002E-2</v>
      </c>
      <c r="G45">
        <v>-0.76</v>
      </c>
      <c r="H45">
        <v>0</v>
      </c>
      <c r="L45" s="2">
        <v>46191</v>
      </c>
      <c r="M45">
        <v>4.1980000000000004</v>
      </c>
      <c r="N45">
        <v>4.2249999999999996</v>
      </c>
      <c r="O45">
        <v>4.141</v>
      </c>
      <c r="P45">
        <v>4.181</v>
      </c>
      <c r="Q45">
        <v>-8.0000000000000002E-3</v>
      </c>
      <c r="R45">
        <v>-0.19</v>
      </c>
      <c r="S45">
        <v>0</v>
      </c>
    </row>
    <row r="46" spans="1:19" x14ac:dyDescent="0.4">
      <c r="A46" s="2">
        <v>46190</v>
      </c>
      <c r="B46">
        <v>4.4409999999999998</v>
      </c>
      <c r="C46">
        <v>4.5010000000000003</v>
      </c>
      <c r="D46">
        <v>4.4249999999999998</v>
      </c>
      <c r="E46">
        <v>4.4909999999999997</v>
      </c>
      <c r="F46">
        <v>0.05</v>
      </c>
      <c r="G46">
        <v>1.1299999999999999</v>
      </c>
      <c r="H46">
        <v>0</v>
      </c>
      <c r="L46" s="2">
        <v>46190</v>
      </c>
      <c r="M46">
        <v>4.056</v>
      </c>
      <c r="N46">
        <v>4.22</v>
      </c>
      <c r="O46">
        <v>4.05</v>
      </c>
      <c r="P46">
        <v>4.1890000000000001</v>
      </c>
      <c r="Q46">
        <v>0.13300000000000001</v>
      </c>
      <c r="R46">
        <v>3.28</v>
      </c>
      <c r="S46">
        <v>0</v>
      </c>
    </row>
    <row r="47" spans="1:19" x14ac:dyDescent="0.4">
      <c r="A47" s="2">
        <v>46189</v>
      </c>
      <c r="B47">
        <v>4.4800000000000004</v>
      </c>
      <c r="C47">
        <v>4.4850000000000003</v>
      </c>
      <c r="D47">
        <v>4.42</v>
      </c>
      <c r="E47">
        <v>4.4409999999999998</v>
      </c>
      <c r="F47">
        <v>-3.5999999999999997E-2</v>
      </c>
      <c r="G47">
        <v>-0.8</v>
      </c>
      <c r="H47">
        <v>0</v>
      </c>
      <c r="L47" s="2">
        <v>46189</v>
      </c>
      <c r="M47">
        <v>4.07</v>
      </c>
      <c r="N47">
        <v>4.0830000000000002</v>
      </c>
      <c r="O47">
        <v>4.0350000000000001</v>
      </c>
      <c r="P47">
        <v>4.056</v>
      </c>
      <c r="Q47">
        <v>-1.4E-2</v>
      </c>
      <c r="R47">
        <v>-0.34</v>
      </c>
      <c r="S47">
        <v>0</v>
      </c>
    </row>
    <row r="48" spans="1:19" x14ac:dyDescent="0.4">
      <c r="A48" s="2">
        <v>46188</v>
      </c>
      <c r="B48">
        <v>4.4400000000000004</v>
      </c>
      <c r="C48">
        <v>4.4770000000000003</v>
      </c>
      <c r="D48">
        <v>4.4219999999999997</v>
      </c>
      <c r="E48">
        <v>4.4770000000000003</v>
      </c>
      <c r="F48">
        <v>-4.0000000000000001E-3</v>
      </c>
      <c r="G48">
        <v>-0.09</v>
      </c>
      <c r="H48">
        <v>0</v>
      </c>
      <c r="L48" s="2">
        <v>46188</v>
      </c>
      <c r="M48">
        <v>4.0369999999999999</v>
      </c>
      <c r="N48">
        <v>4.0730000000000004</v>
      </c>
      <c r="O48">
        <v>4.024</v>
      </c>
      <c r="P48">
        <v>4.07</v>
      </c>
      <c r="Q48">
        <v>-1.2999999999999999E-2</v>
      </c>
      <c r="R48">
        <v>-0.32</v>
      </c>
      <c r="S48">
        <v>0</v>
      </c>
    </row>
    <row r="49" spans="1:19" x14ac:dyDescent="0.4">
      <c r="A49" s="2">
        <v>46185</v>
      </c>
      <c r="B49">
        <v>4.4649999999999999</v>
      </c>
      <c r="C49">
        <v>4.5090000000000003</v>
      </c>
      <c r="D49">
        <v>4.4379999999999997</v>
      </c>
      <c r="E49">
        <v>4.4809999999999999</v>
      </c>
      <c r="F49">
        <v>1.7000000000000001E-2</v>
      </c>
      <c r="G49">
        <v>0.38</v>
      </c>
      <c r="H49">
        <v>0</v>
      </c>
      <c r="L49" s="2">
        <v>46185</v>
      </c>
      <c r="M49">
        <v>4.07</v>
      </c>
      <c r="N49">
        <v>4.1120000000000001</v>
      </c>
      <c r="O49">
        <v>4.0430000000000001</v>
      </c>
      <c r="P49">
        <v>4.0830000000000002</v>
      </c>
      <c r="Q49">
        <v>1.7000000000000001E-2</v>
      </c>
      <c r="R49">
        <v>0.42</v>
      </c>
      <c r="S49">
        <v>0</v>
      </c>
    </row>
    <row r="50" spans="1:19" x14ac:dyDescent="0.4">
      <c r="A50" s="2">
        <v>46184</v>
      </c>
      <c r="B50">
        <v>4.5730000000000004</v>
      </c>
      <c r="C50">
        <v>4.5739999999999998</v>
      </c>
      <c r="D50">
        <v>4.4450000000000003</v>
      </c>
      <c r="E50">
        <v>4.4640000000000004</v>
      </c>
      <c r="F50">
        <v>-0.09</v>
      </c>
      <c r="G50">
        <v>-1.98</v>
      </c>
      <c r="H50">
        <v>0</v>
      </c>
      <c r="L50" s="2">
        <v>46184</v>
      </c>
      <c r="M50">
        <v>4.1639999999999997</v>
      </c>
      <c r="N50">
        <v>4.1660000000000004</v>
      </c>
      <c r="O50">
        <v>4.0410000000000004</v>
      </c>
      <c r="P50">
        <v>4.0659999999999998</v>
      </c>
      <c r="Q50">
        <v>-8.1000000000000003E-2</v>
      </c>
      <c r="R50">
        <v>-1.95</v>
      </c>
      <c r="S50">
        <v>0</v>
      </c>
    </row>
    <row r="51" spans="1:19" x14ac:dyDescent="0.4">
      <c r="A51" s="2">
        <v>46183</v>
      </c>
      <c r="B51">
        <v>4.5309999999999997</v>
      </c>
      <c r="C51">
        <v>4.5620000000000003</v>
      </c>
      <c r="D51">
        <v>4.5119999999999996</v>
      </c>
      <c r="E51">
        <v>4.5540000000000003</v>
      </c>
      <c r="F51">
        <v>3.4000000000000002E-2</v>
      </c>
      <c r="G51">
        <v>0.75</v>
      </c>
      <c r="H51">
        <v>0</v>
      </c>
      <c r="L51" s="2">
        <v>46183</v>
      </c>
      <c r="M51">
        <v>4.1429999999999998</v>
      </c>
      <c r="N51">
        <v>4.16</v>
      </c>
      <c r="O51">
        <v>4.1040000000000001</v>
      </c>
      <c r="P51">
        <v>4.1470000000000002</v>
      </c>
      <c r="Q51">
        <v>2.7E-2</v>
      </c>
      <c r="R51">
        <v>0.66</v>
      </c>
      <c r="S51">
        <v>0</v>
      </c>
    </row>
    <row r="52" spans="1:19" x14ac:dyDescent="0.4">
      <c r="A52" s="2">
        <v>46182</v>
      </c>
      <c r="B52">
        <v>4.5650000000000004</v>
      </c>
      <c r="C52">
        <v>4.5819999999999999</v>
      </c>
      <c r="D52">
        <v>4.516</v>
      </c>
      <c r="E52">
        <v>4.5199999999999996</v>
      </c>
      <c r="F52">
        <v>-4.5999999999999999E-2</v>
      </c>
      <c r="G52">
        <v>-1.01</v>
      </c>
      <c r="H52">
        <v>0</v>
      </c>
      <c r="L52" s="2">
        <v>46182</v>
      </c>
      <c r="M52">
        <v>4.1639999999999997</v>
      </c>
      <c r="N52">
        <v>4.181</v>
      </c>
      <c r="O52">
        <v>4.1120000000000001</v>
      </c>
      <c r="P52">
        <v>4.12</v>
      </c>
      <c r="Q52">
        <v>-4.3999999999999997E-2</v>
      </c>
      <c r="R52">
        <v>-1.06</v>
      </c>
      <c r="S52">
        <v>0</v>
      </c>
    </row>
    <row r="53" spans="1:19" x14ac:dyDescent="0.4">
      <c r="A53" s="2">
        <v>46181</v>
      </c>
      <c r="B53">
        <v>4.55</v>
      </c>
      <c r="C53">
        <v>4.585</v>
      </c>
      <c r="D53">
        <v>4.5149999999999997</v>
      </c>
      <c r="E53">
        <v>4.5659999999999998</v>
      </c>
      <c r="F53">
        <v>3.4000000000000002E-2</v>
      </c>
      <c r="G53">
        <v>0.75</v>
      </c>
      <c r="H53">
        <v>0</v>
      </c>
      <c r="L53" s="2">
        <v>46181</v>
      </c>
      <c r="M53">
        <v>4.1849999999999996</v>
      </c>
      <c r="N53">
        <v>4.2080000000000002</v>
      </c>
      <c r="O53">
        <v>4.1239999999999997</v>
      </c>
      <c r="P53">
        <v>4.1639999999999997</v>
      </c>
      <c r="Q53">
        <v>1.2999999999999999E-2</v>
      </c>
      <c r="R53">
        <v>0.31</v>
      </c>
      <c r="S53">
        <v>0</v>
      </c>
    </row>
    <row r="54" spans="1:19" x14ac:dyDescent="0.4">
      <c r="A54" s="2">
        <v>46178</v>
      </c>
      <c r="B54">
        <v>4.4749999999999996</v>
      </c>
      <c r="C54">
        <v>4.5549999999999997</v>
      </c>
      <c r="D54">
        <v>4.4589999999999996</v>
      </c>
      <c r="E54">
        <v>4.532</v>
      </c>
      <c r="F54">
        <v>5.6000000000000001E-2</v>
      </c>
      <c r="G54">
        <v>1.25</v>
      </c>
      <c r="H54">
        <v>0</v>
      </c>
      <c r="L54" s="2">
        <v>46178</v>
      </c>
      <c r="M54">
        <v>4.0579999999999998</v>
      </c>
      <c r="N54">
        <v>4.1779999999999999</v>
      </c>
      <c r="O54">
        <v>4.0350000000000001</v>
      </c>
      <c r="P54">
        <v>4.1509999999999998</v>
      </c>
      <c r="Q54">
        <v>0.104</v>
      </c>
      <c r="R54">
        <v>2.57</v>
      </c>
      <c r="S54">
        <v>0</v>
      </c>
    </row>
    <row r="55" spans="1:19" x14ac:dyDescent="0.4">
      <c r="A55" s="2">
        <v>46177</v>
      </c>
      <c r="B55">
        <v>4.4909999999999997</v>
      </c>
      <c r="C55">
        <v>4.4969999999999999</v>
      </c>
      <c r="D55">
        <v>4.4489999999999998</v>
      </c>
      <c r="E55">
        <v>4.476</v>
      </c>
      <c r="F55">
        <v>-2.1000000000000001E-2</v>
      </c>
      <c r="G55">
        <v>-0.47</v>
      </c>
      <c r="H55">
        <v>0</v>
      </c>
      <c r="L55" s="2">
        <v>46177</v>
      </c>
      <c r="M55">
        <v>4.0819999999999999</v>
      </c>
      <c r="N55">
        <v>4.0869999999999997</v>
      </c>
      <c r="O55">
        <v>4.0250000000000004</v>
      </c>
      <c r="P55">
        <v>4.0469999999999997</v>
      </c>
      <c r="Q55">
        <v>-3.9E-2</v>
      </c>
      <c r="R55">
        <v>-0.95</v>
      </c>
      <c r="S55">
        <v>0</v>
      </c>
    </row>
    <row r="56" spans="1:19" x14ac:dyDescent="0.4">
      <c r="A56" s="2">
        <v>46176</v>
      </c>
      <c r="B56">
        <v>4.4649999999999999</v>
      </c>
      <c r="C56">
        <v>4.5039999999999996</v>
      </c>
      <c r="D56">
        <v>4.4489999999999998</v>
      </c>
      <c r="E56">
        <v>4.4969999999999999</v>
      </c>
      <c r="F56">
        <v>5.0999999999999997E-2</v>
      </c>
      <c r="G56">
        <v>1.1499999999999999</v>
      </c>
      <c r="H56">
        <v>0</v>
      </c>
      <c r="L56" s="2">
        <v>46176</v>
      </c>
      <c r="M56">
        <v>4.0599999999999996</v>
      </c>
      <c r="N56">
        <v>4.0970000000000004</v>
      </c>
      <c r="O56">
        <v>4.0599999999999996</v>
      </c>
      <c r="P56">
        <v>4.0860000000000003</v>
      </c>
      <c r="Q56">
        <v>4.1000000000000002E-2</v>
      </c>
      <c r="R56">
        <v>1.01</v>
      </c>
      <c r="S56">
        <v>0</v>
      </c>
    </row>
    <row r="57" spans="1:19" x14ac:dyDescent="0.4">
      <c r="A57" s="2">
        <v>46175</v>
      </c>
      <c r="B57">
        <v>4.4589999999999996</v>
      </c>
      <c r="C57">
        <v>4.4950000000000001</v>
      </c>
      <c r="D57">
        <v>4.4260000000000002</v>
      </c>
      <c r="E57">
        <v>4.4459999999999997</v>
      </c>
      <c r="F57">
        <v>-8.9999999999999993E-3</v>
      </c>
      <c r="G57">
        <v>-0.2</v>
      </c>
      <c r="H57">
        <v>0</v>
      </c>
      <c r="L57" s="2">
        <v>46175</v>
      </c>
      <c r="M57">
        <v>4.0449999999999999</v>
      </c>
      <c r="N57">
        <v>4.0659999999999998</v>
      </c>
      <c r="O57">
        <v>4.0140000000000002</v>
      </c>
      <c r="P57">
        <v>4.0449999999999999</v>
      </c>
      <c r="Q57">
        <v>0.01</v>
      </c>
      <c r="R57">
        <v>0.25</v>
      </c>
      <c r="S57">
        <v>0</v>
      </c>
    </row>
    <row r="58" spans="1:19" x14ac:dyDescent="0.4">
      <c r="A58" s="2">
        <v>46174</v>
      </c>
      <c r="B58">
        <v>4.4379999999999997</v>
      </c>
      <c r="C58">
        <v>4.5190000000000001</v>
      </c>
      <c r="D58">
        <v>4.4379999999999997</v>
      </c>
      <c r="E58">
        <v>4.4550000000000001</v>
      </c>
      <c r="F58">
        <v>1.7000000000000001E-2</v>
      </c>
      <c r="G58">
        <v>0.38</v>
      </c>
      <c r="H58">
        <v>0</v>
      </c>
      <c r="L58" s="2">
        <v>46174</v>
      </c>
      <c r="M58">
        <v>4.0060000000000002</v>
      </c>
      <c r="N58">
        <v>4.101</v>
      </c>
      <c r="O58">
        <v>4.0060000000000002</v>
      </c>
      <c r="P58">
        <v>4.0350000000000001</v>
      </c>
      <c r="Q58">
        <v>2.9000000000000001E-2</v>
      </c>
      <c r="R58">
        <v>0.72</v>
      </c>
      <c r="S58">
        <v>0</v>
      </c>
    </row>
    <row r="59" spans="1:19" x14ac:dyDescent="0.4">
      <c r="A59" s="2">
        <v>46171</v>
      </c>
      <c r="B59">
        <v>4.4429999999999996</v>
      </c>
      <c r="C59">
        <v>4.4660000000000002</v>
      </c>
      <c r="D59">
        <v>4.4260000000000002</v>
      </c>
      <c r="E59">
        <v>4.4379999999999997</v>
      </c>
      <c r="F59">
        <v>-1.0999999999999999E-2</v>
      </c>
      <c r="G59">
        <v>-0.25</v>
      </c>
      <c r="H59">
        <v>0</v>
      </c>
      <c r="L59" s="2">
        <v>46171</v>
      </c>
      <c r="M59">
        <v>4.0270000000000001</v>
      </c>
      <c r="N59">
        <v>4.0430000000000001</v>
      </c>
      <c r="O59">
        <v>3.9860000000000002</v>
      </c>
      <c r="P59">
        <v>4.0060000000000002</v>
      </c>
      <c r="Q59">
        <v>-1.9E-2</v>
      </c>
      <c r="R59">
        <v>-0.47</v>
      </c>
      <c r="S59">
        <v>0</v>
      </c>
    </row>
    <row r="60" spans="1:19" x14ac:dyDescent="0.4">
      <c r="A60" s="2">
        <v>46170</v>
      </c>
      <c r="B60">
        <v>4.5060000000000002</v>
      </c>
      <c r="C60">
        <v>4.5359999999999996</v>
      </c>
      <c r="D60">
        <v>4.4329999999999998</v>
      </c>
      <c r="E60">
        <v>4.4489999999999998</v>
      </c>
      <c r="F60">
        <v>-3.5999999999999997E-2</v>
      </c>
      <c r="G60">
        <v>-0.8</v>
      </c>
      <c r="H60">
        <v>0</v>
      </c>
      <c r="L60" s="2">
        <v>46170</v>
      </c>
      <c r="M60">
        <v>4.0579999999999998</v>
      </c>
      <c r="N60">
        <v>4.0860000000000003</v>
      </c>
      <c r="O60">
        <v>3.99</v>
      </c>
      <c r="P60">
        <v>4.0250000000000004</v>
      </c>
      <c r="Q60">
        <v>-1.4E-2</v>
      </c>
      <c r="R60">
        <v>-0.35</v>
      </c>
      <c r="S60">
        <v>0</v>
      </c>
    </row>
    <row r="61" spans="1:19" x14ac:dyDescent="0.4">
      <c r="A61" s="2">
        <v>46169</v>
      </c>
      <c r="B61">
        <v>4.4859999999999998</v>
      </c>
      <c r="C61">
        <v>4.4909999999999997</v>
      </c>
      <c r="D61">
        <v>4.4470000000000001</v>
      </c>
      <c r="E61">
        <v>4.4850000000000003</v>
      </c>
      <c r="F61">
        <v>-2E-3</v>
      </c>
      <c r="G61">
        <v>-0.04</v>
      </c>
      <c r="H61">
        <v>0</v>
      </c>
      <c r="L61" s="2">
        <v>46169</v>
      </c>
      <c r="M61">
        <v>4.0389999999999997</v>
      </c>
      <c r="N61">
        <v>4.0599999999999996</v>
      </c>
      <c r="O61">
        <v>4.01</v>
      </c>
      <c r="P61">
        <v>4.0389999999999997</v>
      </c>
      <c r="Q61">
        <v>5.0000000000000001E-3</v>
      </c>
      <c r="R61">
        <v>0.12</v>
      </c>
      <c r="S61">
        <v>0</v>
      </c>
    </row>
    <row r="62" spans="1:19" x14ac:dyDescent="0.4">
      <c r="A62" s="2">
        <v>46168</v>
      </c>
      <c r="B62">
        <v>4.49</v>
      </c>
      <c r="C62">
        <v>4.524</v>
      </c>
      <c r="D62">
        <v>4.4770000000000003</v>
      </c>
      <c r="E62">
        <v>4.4889999999999999</v>
      </c>
      <c r="F62">
        <v>-6.9000000000000006E-2</v>
      </c>
      <c r="G62">
        <v>-1.51</v>
      </c>
      <c r="H62">
        <v>0</v>
      </c>
      <c r="L62" s="2">
        <v>46168</v>
      </c>
      <c r="M62">
        <v>4.0469999999999997</v>
      </c>
      <c r="N62">
        <v>4.0910000000000002</v>
      </c>
      <c r="O62">
        <v>4.04</v>
      </c>
      <c r="P62">
        <v>4.0590000000000002</v>
      </c>
      <c r="Q62">
        <v>-6.8000000000000005E-2</v>
      </c>
      <c r="R62">
        <v>-1.65</v>
      </c>
      <c r="S62">
        <v>0</v>
      </c>
    </row>
    <row r="63" spans="1:19" x14ac:dyDescent="0.4">
      <c r="A63" s="2">
        <v>46164</v>
      </c>
      <c r="B63">
        <v>4.5759999999999996</v>
      </c>
      <c r="C63">
        <v>4.5880000000000001</v>
      </c>
      <c r="D63">
        <v>4.5259999999999998</v>
      </c>
      <c r="E63">
        <v>4.5579999999999998</v>
      </c>
      <c r="F63">
        <v>-1.6E-2</v>
      </c>
      <c r="G63">
        <v>-0.35</v>
      </c>
      <c r="H63">
        <v>0</v>
      </c>
      <c r="L63" s="2">
        <v>46164</v>
      </c>
      <c r="M63">
        <v>4.0890000000000004</v>
      </c>
      <c r="N63">
        <v>4.1470000000000002</v>
      </c>
      <c r="O63">
        <v>4.0529999999999999</v>
      </c>
      <c r="P63">
        <v>4.1269999999999998</v>
      </c>
      <c r="Q63">
        <v>0.04</v>
      </c>
      <c r="R63">
        <v>0.98</v>
      </c>
      <c r="S63">
        <v>0</v>
      </c>
    </row>
    <row r="64" spans="1:19" x14ac:dyDescent="0.4">
      <c r="A64" s="2">
        <v>46163</v>
      </c>
      <c r="B64">
        <v>4.5949999999999998</v>
      </c>
      <c r="C64">
        <v>4.6390000000000002</v>
      </c>
      <c r="D64">
        <v>4.5540000000000003</v>
      </c>
      <c r="E64">
        <v>4.5739999999999998</v>
      </c>
      <c r="F64">
        <v>-1.4999999999999999E-2</v>
      </c>
      <c r="G64">
        <v>-0.33</v>
      </c>
      <c r="H64">
        <v>0</v>
      </c>
      <c r="L64" s="2">
        <v>46163</v>
      </c>
      <c r="M64">
        <v>4.0720000000000001</v>
      </c>
      <c r="N64">
        <v>4.1189999999999998</v>
      </c>
      <c r="O64">
        <v>4.0469999999999997</v>
      </c>
      <c r="P64">
        <v>4.0869999999999997</v>
      </c>
      <c r="Q64">
        <v>2.5999999999999999E-2</v>
      </c>
      <c r="R64">
        <v>0.64</v>
      </c>
      <c r="S64">
        <v>0</v>
      </c>
    </row>
    <row r="65" spans="1:19" x14ac:dyDescent="0.4">
      <c r="A65" s="2">
        <v>46162</v>
      </c>
      <c r="B65">
        <v>4.665</v>
      </c>
      <c r="C65">
        <v>4.6890000000000001</v>
      </c>
      <c r="D65">
        <v>4.5590000000000002</v>
      </c>
      <c r="E65">
        <v>4.5890000000000004</v>
      </c>
      <c r="F65">
        <v>-7.9000000000000001E-2</v>
      </c>
      <c r="G65">
        <v>-1.69</v>
      </c>
      <c r="H65">
        <v>0</v>
      </c>
      <c r="L65" s="2">
        <v>46162</v>
      </c>
      <c r="M65">
        <v>4.1210000000000004</v>
      </c>
      <c r="N65">
        <v>4.1289999999999996</v>
      </c>
      <c r="O65">
        <v>4.0090000000000003</v>
      </c>
      <c r="P65">
        <v>4.0609999999999999</v>
      </c>
      <c r="Q65">
        <v>-6.0999999999999999E-2</v>
      </c>
      <c r="R65">
        <v>-1.48</v>
      </c>
      <c r="S65">
        <v>0</v>
      </c>
    </row>
    <row r="66" spans="1:19" x14ac:dyDescent="0.4">
      <c r="A66" s="2">
        <v>46161</v>
      </c>
      <c r="B66">
        <v>4.5999999999999996</v>
      </c>
      <c r="C66">
        <v>4.6870000000000003</v>
      </c>
      <c r="D66">
        <v>4.5910000000000002</v>
      </c>
      <c r="E66">
        <v>4.6680000000000001</v>
      </c>
      <c r="F66">
        <v>0.08</v>
      </c>
      <c r="G66">
        <v>1.74</v>
      </c>
      <c r="H66">
        <v>0</v>
      </c>
      <c r="L66" s="2">
        <v>46161</v>
      </c>
      <c r="M66">
        <v>4.048</v>
      </c>
      <c r="N66">
        <v>4.1390000000000002</v>
      </c>
      <c r="O66">
        <v>4.048</v>
      </c>
      <c r="P66">
        <v>4.1219999999999999</v>
      </c>
      <c r="Q66">
        <v>7.3999999999999996E-2</v>
      </c>
      <c r="R66">
        <v>1.83</v>
      </c>
      <c r="S66">
        <v>0</v>
      </c>
    </row>
    <row r="67" spans="1:19" x14ac:dyDescent="0.4">
      <c r="A67" s="2">
        <v>46160</v>
      </c>
      <c r="B67">
        <v>4.5949999999999998</v>
      </c>
      <c r="C67">
        <v>4.6349999999999998</v>
      </c>
      <c r="D67">
        <v>4.5629999999999997</v>
      </c>
      <c r="E67">
        <v>4.5880000000000001</v>
      </c>
      <c r="F67">
        <v>-7.0000000000000001E-3</v>
      </c>
      <c r="G67">
        <v>-0.15</v>
      </c>
      <c r="H67">
        <v>0</v>
      </c>
      <c r="L67" s="2">
        <v>46160</v>
      </c>
      <c r="M67">
        <v>4.1029999999999998</v>
      </c>
      <c r="N67">
        <v>4.1139999999999999</v>
      </c>
      <c r="O67">
        <v>4.0369999999999999</v>
      </c>
      <c r="P67">
        <v>4.048</v>
      </c>
      <c r="Q67">
        <v>-2.7E-2</v>
      </c>
      <c r="R67">
        <v>-0.66</v>
      </c>
      <c r="S67">
        <v>0</v>
      </c>
    </row>
    <row r="68" spans="1:19" x14ac:dyDescent="0.4">
      <c r="A68" s="2">
        <v>46157</v>
      </c>
      <c r="B68">
        <v>4.4800000000000004</v>
      </c>
      <c r="C68">
        <v>4.6050000000000004</v>
      </c>
      <c r="D68">
        <v>4.4800000000000004</v>
      </c>
      <c r="E68">
        <v>4.5949999999999998</v>
      </c>
      <c r="F68">
        <v>0.107</v>
      </c>
      <c r="G68">
        <v>2.38</v>
      </c>
      <c r="H68">
        <v>0</v>
      </c>
      <c r="L68" s="2">
        <v>46157</v>
      </c>
      <c r="M68">
        <v>4.0289999999999999</v>
      </c>
      <c r="N68">
        <v>4.0880000000000001</v>
      </c>
      <c r="O68">
        <v>4.0289999999999999</v>
      </c>
      <c r="P68">
        <v>4.0750000000000002</v>
      </c>
      <c r="Q68">
        <v>5.1999999999999998E-2</v>
      </c>
      <c r="R68">
        <v>1.29</v>
      </c>
      <c r="S68">
        <v>0</v>
      </c>
    </row>
    <row r="69" spans="1:19" x14ac:dyDescent="0.4">
      <c r="A69" s="2">
        <v>46156</v>
      </c>
      <c r="B69">
        <v>4.4710000000000001</v>
      </c>
      <c r="C69">
        <v>4.4909999999999997</v>
      </c>
      <c r="D69">
        <v>4.4349999999999996</v>
      </c>
      <c r="E69">
        <v>4.4880000000000004</v>
      </c>
      <c r="F69">
        <v>1.7999999999999999E-2</v>
      </c>
      <c r="G69">
        <v>0.4</v>
      </c>
      <c r="H69">
        <v>0</v>
      </c>
      <c r="L69" s="2">
        <v>46156</v>
      </c>
      <c r="M69">
        <v>3.988</v>
      </c>
      <c r="N69">
        <v>4.0229999999999997</v>
      </c>
      <c r="O69">
        <v>3.9540000000000002</v>
      </c>
      <c r="P69">
        <v>4.0229999999999997</v>
      </c>
      <c r="Q69">
        <v>0.04</v>
      </c>
      <c r="R69">
        <v>1</v>
      </c>
      <c r="S69">
        <v>0</v>
      </c>
    </row>
    <row r="70" spans="1:19" x14ac:dyDescent="0.4">
      <c r="A70" s="2">
        <v>46155</v>
      </c>
      <c r="B70">
        <v>4.468</v>
      </c>
      <c r="C70">
        <v>4.4969999999999999</v>
      </c>
      <c r="D70">
        <v>4.4589999999999996</v>
      </c>
      <c r="E70">
        <v>4.47</v>
      </c>
      <c r="F70">
        <v>5.0000000000000001E-3</v>
      </c>
      <c r="G70">
        <v>0.11</v>
      </c>
      <c r="H70">
        <v>0</v>
      </c>
      <c r="L70" s="2">
        <v>46155</v>
      </c>
      <c r="M70">
        <v>3.99</v>
      </c>
      <c r="N70">
        <v>4.0170000000000003</v>
      </c>
      <c r="O70">
        <v>3.9750000000000001</v>
      </c>
      <c r="P70">
        <v>3.9830000000000001</v>
      </c>
      <c r="Q70">
        <v>-1.0999999999999999E-2</v>
      </c>
      <c r="R70">
        <v>-0.28000000000000003</v>
      </c>
      <c r="S70">
        <v>0</v>
      </c>
    </row>
    <row r="71" spans="1:19" x14ac:dyDescent="0.4">
      <c r="A71" s="2">
        <v>46154</v>
      </c>
      <c r="B71">
        <v>4.4169999999999998</v>
      </c>
      <c r="C71">
        <v>4.468</v>
      </c>
      <c r="D71">
        <v>4.4160000000000004</v>
      </c>
      <c r="E71">
        <v>4.4649999999999999</v>
      </c>
      <c r="F71">
        <v>5.0999999999999997E-2</v>
      </c>
      <c r="G71">
        <v>1.1599999999999999</v>
      </c>
      <c r="H71">
        <v>0</v>
      </c>
      <c r="L71" s="2">
        <v>46154</v>
      </c>
      <c r="M71">
        <v>3.96</v>
      </c>
      <c r="N71">
        <v>4.0270000000000001</v>
      </c>
      <c r="O71">
        <v>3.9540000000000002</v>
      </c>
      <c r="P71">
        <v>3.9940000000000002</v>
      </c>
      <c r="Q71">
        <v>3.7999999999999999E-2</v>
      </c>
      <c r="R71">
        <v>0.96</v>
      </c>
      <c r="S71">
        <v>0</v>
      </c>
    </row>
    <row r="72" spans="1:19" x14ac:dyDescent="0.4">
      <c r="A72" s="2">
        <v>46153</v>
      </c>
      <c r="B72">
        <v>4.3559999999999999</v>
      </c>
      <c r="C72">
        <v>4.4160000000000004</v>
      </c>
      <c r="D72">
        <v>4.3559999999999999</v>
      </c>
      <c r="E72">
        <v>4.4139999999999997</v>
      </c>
      <c r="F72">
        <v>5.8000000000000003E-2</v>
      </c>
      <c r="G72">
        <v>1.33</v>
      </c>
      <c r="H72">
        <v>0</v>
      </c>
      <c r="L72" s="2">
        <v>46153</v>
      </c>
      <c r="M72">
        <v>3.887</v>
      </c>
      <c r="N72">
        <v>3.956</v>
      </c>
      <c r="O72">
        <v>3.887</v>
      </c>
      <c r="P72">
        <v>3.956</v>
      </c>
      <c r="Q72">
        <v>6.9000000000000006E-2</v>
      </c>
      <c r="R72">
        <v>1.78</v>
      </c>
      <c r="S72">
        <v>0</v>
      </c>
    </row>
    <row r="73" spans="1:19" x14ac:dyDescent="0.4">
      <c r="A73" s="2">
        <v>46150</v>
      </c>
      <c r="B73">
        <v>4.4039999999999999</v>
      </c>
      <c r="C73">
        <v>4.4039999999999999</v>
      </c>
      <c r="D73">
        <v>4.3440000000000003</v>
      </c>
      <c r="E73">
        <v>4.3559999999999999</v>
      </c>
      <c r="F73">
        <v>-3.2000000000000001E-2</v>
      </c>
      <c r="G73">
        <v>-0.73</v>
      </c>
      <c r="H73">
        <v>0</v>
      </c>
      <c r="L73" s="2">
        <v>46150</v>
      </c>
      <c r="M73">
        <v>3.92</v>
      </c>
      <c r="N73">
        <v>3.9510000000000001</v>
      </c>
      <c r="O73">
        <v>3.8719999999999999</v>
      </c>
      <c r="P73">
        <v>3.887</v>
      </c>
      <c r="Q73">
        <v>-2.5999999999999999E-2</v>
      </c>
      <c r="R73">
        <v>-0.66</v>
      </c>
      <c r="S73">
        <v>0</v>
      </c>
    </row>
    <row r="74" spans="1:19" x14ac:dyDescent="0.4">
      <c r="A74" s="2">
        <v>46149</v>
      </c>
      <c r="B74">
        <v>4.3559999999999999</v>
      </c>
      <c r="C74">
        <v>4.4009999999999998</v>
      </c>
      <c r="D74">
        <v>4.3150000000000004</v>
      </c>
      <c r="E74">
        <v>4.3879999999999999</v>
      </c>
      <c r="F74">
        <v>3.7999999999999999E-2</v>
      </c>
      <c r="G74">
        <v>0.87</v>
      </c>
      <c r="H74">
        <v>0</v>
      </c>
      <c r="L74" s="2">
        <v>46149</v>
      </c>
      <c r="M74">
        <v>3.8719999999999999</v>
      </c>
      <c r="N74">
        <v>3.9350000000000001</v>
      </c>
      <c r="O74">
        <v>3.8239999999999998</v>
      </c>
      <c r="P74">
        <v>3.9129999999999998</v>
      </c>
      <c r="Q74">
        <v>4.5999999999999999E-2</v>
      </c>
      <c r="R74">
        <v>1.19</v>
      </c>
      <c r="S74">
        <v>0</v>
      </c>
    </row>
    <row r="75" spans="1:19" x14ac:dyDescent="0.4">
      <c r="A75" s="2">
        <v>46148</v>
      </c>
      <c r="B75">
        <v>4.391</v>
      </c>
      <c r="C75">
        <v>4.391</v>
      </c>
      <c r="D75">
        <v>4.3360000000000003</v>
      </c>
      <c r="E75">
        <v>4.3499999999999996</v>
      </c>
      <c r="F75">
        <v>-7.5999999999999998E-2</v>
      </c>
      <c r="G75">
        <v>-1.72</v>
      </c>
      <c r="H75">
        <v>0</v>
      </c>
      <c r="L75" s="2">
        <v>46148</v>
      </c>
      <c r="M75">
        <v>3.923</v>
      </c>
      <c r="N75">
        <v>3.923</v>
      </c>
      <c r="O75">
        <v>3.847</v>
      </c>
      <c r="P75">
        <v>3.867</v>
      </c>
      <c r="Q75">
        <v>-7.6999999999999999E-2</v>
      </c>
      <c r="R75">
        <v>-1.95</v>
      </c>
      <c r="S75">
        <v>0</v>
      </c>
    </row>
    <row r="76" spans="1:19" x14ac:dyDescent="0.4">
      <c r="A76" s="2">
        <v>46147</v>
      </c>
      <c r="B76">
        <v>4.4409999999999998</v>
      </c>
      <c r="C76">
        <v>4.4459999999999997</v>
      </c>
      <c r="D76">
        <v>4.4039999999999999</v>
      </c>
      <c r="E76">
        <v>4.4260000000000002</v>
      </c>
      <c r="F76">
        <v>-1.4E-2</v>
      </c>
      <c r="G76">
        <v>-0.32</v>
      </c>
      <c r="H76">
        <v>0</v>
      </c>
      <c r="L76" s="2">
        <v>46147</v>
      </c>
      <c r="M76">
        <v>3.9580000000000002</v>
      </c>
      <c r="N76">
        <v>3.9649999999999999</v>
      </c>
      <c r="O76">
        <v>3.9209999999999998</v>
      </c>
      <c r="P76">
        <v>3.944</v>
      </c>
      <c r="Q76">
        <v>-1.2E-2</v>
      </c>
      <c r="R76">
        <v>-0.3</v>
      </c>
      <c r="S76">
        <v>0</v>
      </c>
    </row>
    <row r="77" spans="1:19" x14ac:dyDescent="0.4">
      <c r="A77" s="2">
        <v>46146</v>
      </c>
      <c r="B77">
        <v>4.4160000000000004</v>
      </c>
      <c r="C77">
        <v>4.4640000000000004</v>
      </c>
      <c r="D77">
        <v>4.3879999999999999</v>
      </c>
      <c r="E77">
        <v>4.4400000000000004</v>
      </c>
      <c r="F77">
        <v>6.8000000000000005E-2</v>
      </c>
      <c r="G77">
        <v>1.56</v>
      </c>
      <c r="H77">
        <v>0</v>
      </c>
      <c r="L77" s="2">
        <v>46146</v>
      </c>
      <c r="M77">
        <v>3.9380000000000002</v>
      </c>
      <c r="N77">
        <v>3.9980000000000002</v>
      </c>
      <c r="O77">
        <v>3.907</v>
      </c>
      <c r="P77">
        <v>3.956</v>
      </c>
      <c r="Q77">
        <v>7.3999999999999996E-2</v>
      </c>
      <c r="R77">
        <v>1.91</v>
      </c>
      <c r="S77">
        <v>0</v>
      </c>
    </row>
    <row r="78" spans="1:19" x14ac:dyDescent="0.4">
      <c r="A78" s="2">
        <v>46143</v>
      </c>
      <c r="B78">
        <v>4.3849999999999998</v>
      </c>
      <c r="C78">
        <v>4.4039999999999999</v>
      </c>
      <c r="D78">
        <v>4.3419999999999996</v>
      </c>
      <c r="E78">
        <v>4.3719999999999999</v>
      </c>
      <c r="F78">
        <v>-2E-3</v>
      </c>
      <c r="G78">
        <v>-0.05</v>
      </c>
      <c r="H78">
        <v>0</v>
      </c>
      <c r="L78" s="2">
        <v>46143</v>
      </c>
      <c r="M78">
        <v>3.8919999999999999</v>
      </c>
      <c r="N78">
        <v>3.9039999999999999</v>
      </c>
      <c r="O78">
        <v>3.8439999999999999</v>
      </c>
      <c r="P78">
        <v>3.8820000000000001</v>
      </c>
      <c r="Q78">
        <v>8.9999999999999993E-3</v>
      </c>
      <c r="R78">
        <v>0.23</v>
      </c>
      <c r="S78">
        <v>0</v>
      </c>
    </row>
    <row r="79" spans="1:19" x14ac:dyDescent="0.4">
      <c r="A79" s="2">
        <v>46142</v>
      </c>
      <c r="B79">
        <v>4.4290000000000003</v>
      </c>
      <c r="C79">
        <v>4.4390000000000001</v>
      </c>
      <c r="D79">
        <v>4.37</v>
      </c>
      <c r="E79">
        <v>4.3739999999999997</v>
      </c>
      <c r="F79">
        <v>-5.8000000000000003E-2</v>
      </c>
      <c r="G79">
        <v>-1.31</v>
      </c>
      <c r="H79">
        <v>0</v>
      </c>
      <c r="L79" s="2">
        <v>46142</v>
      </c>
      <c r="M79">
        <v>3.9449999999999998</v>
      </c>
      <c r="N79">
        <v>3.9529999999999998</v>
      </c>
      <c r="O79">
        <v>3.867</v>
      </c>
      <c r="P79">
        <v>3.8730000000000002</v>
      </c>
      <c r="Q79">
        <v>-8.5999999999999993E-2</v>
      </c>
      <c r="R79">
        <v>-2.17</v>
      </c>
      <c r="S79">
        <v>0</v>
      </c>
    </row>
    <row r="80" spans="1:19" x14ac:dyDescent="0.4">
      <c r="A80" s="2">
        <v>46141</v>
      </c>
      <c r="B80">
        <v>4.3470000000000004</v>
      </c>
      <c r="C80">
        <v>4.4340000000000002</v>
      </c>
      <c r="D80">
        <v>4.3470000000000004</v>
      </c>
      <c r="E80">
        <v>4.4320000000000004</v>
      </c>
      <c r="F80">
        <v>8.5000000000000006E-2</v>
      </c>
      <c r="G80">
        <v>1.96</v>
      </c>
      <c r="H80">
        <v>0</v>
      </c>
      <c r="L80" s="2">
        <v>46141</v>
      </c>
      <c r="M80">
        <v>3.8380000000000001</v>
      </c>
      <c r="N80">
        <v>3.9609999999999999</v>
      </c>
      <c r="O80">
        <v>3.8380000000000001</v>
      </c>
      <c r="P80">
        <v>3.9590000000000001</v>
      </c>
      <c r="Q80">
        <v>0.121</v>
      </c>
      <c r="R80">
        <v>3.15</v>
      </c>
      <c r="S80">
        <v>0</v>
      </c>
    </row>
    <row r="81" spans="1:19" x14ac:dyDescent="0.4">
      <c r="A81" s="2">
        <v>46140</v>
      </c>
      <c r="B81">
        <v>4.3460000000000001</v>
      </c>
      <c r="C81">
        <v>4.38</v>
      </c>
      <c r="D81">
        <v>4.3369999999999997</v>
      </c>
      <c r="E81">
        <v>4.3470000000000004</v>
      </c>
      <c r="F81">
        <v>5.0000000000000001E-3</v>
      </c>
      <c r="G81">
        <v>0.12</v>
      </c>
      <c r="H81">
        <v>0</v>
      </c>
      <c r="L81" s="2">
        <v>46140</v>
      </c>
      <c r="M81">
        <v>3.8050000000000002</v>
      </c>
      <c r="N81">
        <v>3.863</v>
      </c>
      <c r="O81">
        <v>3.7989999999999999</v>
      </c>
      <c r="P81">
        <v>3.8380000000000001</v>
      </c>
      <c r="Q81">
        <v>3.6999999999999998E-2</v>
      </c>
      <c r="R81">
        <v>0.97</v>
      </c>
      <c r="S81">
        <v>0</v>
      </c>
    </row>
    <row r="82" spans="1:19" x14ac:dyDescent="0.4">
      <c r="A82" s="2">
        <v>46139</v>
      </c>
      <c r="B82">
        <v>4.3029999999999999</v>
      </c>
      <c r="C82">
        <v>4.3319999999999999</v>
      </c>
      <c r="D82">
        <v>4.3019999999999996</v>
      </c>
      <c r="E82">
        <v>4.3230000000000004</v>
      </c>
      <c r="F82">
        <v>0.02</v>
      </c>
      <c r="G82">
        <v>0.46</v>
      </c>
      <c r="H82">
        <v>0</v>
      </c>
      <c r="L82" s="2">
        <v>46139</v>
      </c>
      <c r="M82">
        <v>3.7829999999999999</v>
      </c>
      <c r="N82">
        <v>3.8420000000000001</v>
      </c>
      <c r="O82">
        <v>3.7829999999999999</v>
      </c>
      <c r="P82">
        <v>3.7970000000000002</v>
      </c>
      <c r="Q82">
        <v>1.4E-2</v>
      </c>
      <c r="R82">
        <v>0.37</v>
      </c>
      <c r="S82">
        <v>0</v>
      </c>
    </row>
    <row r="83" spans="1:19" x14ac:dyDescent="0.4">
      <c r="A83" s="2">
        <v>46136</v>
      </c>
      <c r="B83">
        <v>4.327</v>
      </c>
      <c r="C83">
        <v>4.3550000000000004</v>
      </c>
      <c r="D83">
        <v>4.2990000000000004</v>
      </c>
      <c r="E83">
        <v>4.3029999999999999</v>
      </c>
      <c r="F83">
        <v>-2.4E-2</v>
      </c>
      <c r="G83">
        <v>-0.55000000000000004</v>
      </c>
      <c r="H83">
        <v>0</v>
      </c>
      <c r="L83" s="2">
        <v>46136</v>
      </c>
      <c r="M83">
        <v>3.8530000000000002</v>
      </c>
      <c r="N83">
        <v>3.855</v>
      </c>
      <c r="O83">
        <v>3.7719999999999998</v>
      </c>
      <c r="P83">
        <v>3.7829999999999999</v>
      </c>
      <c r="Q83">
        <v>-5.5E-2</v>
      </c>
      <c r="R83">
        <v>-1.43</v>
      </c>
      <c r="S83">
        <v>0</v>
      </c>
    </row>
    <row r="84" spans="1:19" x14ac:dyDescent="0.4">
      <c r="A84" s="2">
        <v>46135</v>
      </c>
      <c r="B84">
        <v>4.3040000000000003</v>
      </c>
      <c r="C84">
        <v>4.3520000000000003</v>
      </c>
      <c r="D84">
        <v>4.2850000000000001</v>
      </c>
      <c r="E84">
        <v>4.327</v>
      </c>
      <c r="F84">
        <v>2.3E-2</v>
      </c>
      <c r="G84">
        <v>0.53</v>
      </c>
      <c r="H84">
        <v>0</v>
      </c>
      <c r="L84" s="2">
        <v>46135</v>
      </c>
      <c r="M84">
        <v>3.8079999999999998</v>
      </c>
      <c r="N84">
        <v>3.8479999999999999</v>
      </c>
      <c r="O84">
        <v>3.7890000000000001</v>
      </c>
      <c r="P84">
        <v>3.8380000000000001</v>
      </c>
      <c r="Q84">
        <v>3.5999999999999997E-2</v>
      </c>
      <c r="R84">
        <v>0.95</v>
      </c>
      <c r="S84">
        <v>0</v>
      </c>
    </row>
    <row r="85" spans="1:19" x14ac:dyDescent="0.4">
      <c r="A85" s="2">
        <v>46134</v>
      </c>
      <c r="B85">
        <v>4.2930000000000001</v>
      </c>
      <c r="C85">
        <v>4.3090000000000002</v>
      </c>
      <c r="D85">
        <v>4.2619999999999996</v>
      </c>
      <c r="E85">
        <v>4.3040000000000003</v>
      </c>
      <c r="F85">
        <v>1.0999999999999999E-2</v>
      </c>
      <c r="G85">
        <v>0.26</v>
      </c>
      <c r="H85">
        <v>0</v>
      </c>
      <c r="L85" s="2">
        <v>46134</v>
      </c>
      <c r="M85">
        <v>3.7829999999999999</v>
      </c>
      <c r="N85">
        <v>3.8079999999999998</v>
      </c>
      <c r="O85">
        <v>3.754</v>
      </c>
      <c r="P85">
        <v>3.802</v>
      </c>
      <c r="Q85">
        <v>1.9E-2</v>
      </c>
      <c r="R85">
        <v>0.5</v>
      </c>
      <c r="S85">
        <v>0</v>
      </c>
    </row>
    <row r="86" spans="1:19" x14ac:dyDescent="0.4">
      <c r="A86" s="2">
        <v>46133</v>
      </c>
      <c r="B86">
        <v>4.2569999999999997</v>
      </c>
      <c r="C86">
        <v>4.319</v>
      </c>
      <c r="D86">
        <v>4.242</v>
      </c>
      <c r="E86">
        <v>4.2930000000000001</v>
      </c>
      <c r="F86">
        <v>4.1000000000000002E-2</v>
      </c>
      <c r="G86">
        <v>0.96</v>
      </c>
      <c r="H86">
        <v>0</v>
      </c>
      <c r="L86" s="2">
        <v>46133</v>
      </c>
      <c r="M86">
        <v>3.7330000000000001</v>
      </c>
      <c r="N86">
        <v>3.8069999999999999</v>
      </c>
      <c r="O86">
        <v>3.7269999999999999</v>
      </c>
      <c r="P86">
        <v>3.7829999999999999</v>
      </c>
      <c r="Q86">
        <v>5.8000000000000003E-2</v>
      </c>
      <c r="R86">
        <v>1.56</v>
      </c>
      <c r="S86">
        <v>0</v>
      </c>
    </row>
    <row r="87" spans="1:19" x14ac:dyDescent="0.4">
      <c r="A87" s="2">
        <v>46132</v>
      </c>
      <c r="B87">
        <v>4.25</v>
      </c>
      <c r="C87">
        <v>4.2850000000000001</v>
      </c>
      <c r="D87">
        <v>4.2430000000000003</v>
      </c>
      <c r="E87">
        <v>4.2519999999999998</v>
      </c>
      <c r="F87">
        <v>2E-3</v>
      </c>
      <c r="G87">
        <v>0.05</v>
      </c>
      <c r="H87">
        <v>0</v>
      </c>
      <c r="L87" s="2">
        <v>46132</v>
      </c>
      <c r="M87">
        <v>3.7080000000000002</v>
      </c>
      <c r="N87">
        <v>3.7519999999999998</v>
      </c>
      <c r="O87">
        <v>3.7080000000000002</v>
      </c>
      <c r="P87">
        <v>3.7250000000000001</v>
      </c>
      <c r="Q87">
        <v>1.7000000000000001E-2</v>
      </c>
      <c r="R87">
        <v>0.46</v>
      </c>
      <c r="S87">
        <v>0</v>
      </c>
    </row>
    <row r="88" spans="1:19" x14ac:dyDescent="0.4">
      <c r="A88" s="2">
        <v>46129</v>
      </c>
      <c r="B88">
        <v>4.3150000000000004</v>
      </c>
      <c r="C88">
        <v>4.327</v>
      </c>
      <c r="D88">
        <v>4.2249999999999996</v>
      </c>
      <c r="E88">
        <v>4.25</v>
      </c>
      <c r="F88">
        <v>-6.4000000000000001E-2</v>
      </c>
      <c r="G88">
        <v>-1.48</v>
      </c>
      <c r="H88">
        <v>0</v>
      </c>
      <c r="L88" s="2">
        <v>46129</v>
      </c>
      <c r="M88">
        <v>3.7789999999999999</v>
      </c>
      <c r="N88">
        <v>3.79</v>
      </c>
      <c r="O88">
        <v>3.6789999999999998</v>
      </c>
      <c r="P88">
        <v>3.7080000000000002</v>
      </c>
      <c r="Q88">
        <v>-7.1999999999999995E-2</v>
      </c>
      <c r="R88">
        <v>-1.9</v>
      </c>
      <c r="S88">
        <v>0</v>
      </c>
    </row>
    <row r="89" spans="1:19" x14ac:dyDescent="0.4">
      <c r="A89" s="2">
        <v>46128</v>
      </c>
      <c r="B89">
        <v>4.28</v>
      </c>
      <c r="C89">
        <v>4.3179999999999996</v>
      </c>
      <c r="D89">
        <v>4.2640000000000002</v>
      </c>
      <c r="E89">
        <v>4.3140000000000001</v>
      </c>
      <c r="F89">
        <v>2.7E-2</v>
      </c>
      <c r="G89">
        <v>0.63</v>
      </c>
      <c r="H89">
        <v>0</v>
      </c>
      <c r="L89" s="2">
        <v>46128</v>
      </c>
      <c r="M89">
        <v>3.7669999999999999</v>
      </c>
      <c r="N89">
        <v>3.786</v>
      </c>
      <c r="O89">
        <v>3.7440000000000002</v>
      </c>
      <c r="P89">
        <v>3.78</v>
      </c>
      <c r="Q89">
        <v>1.4E-2</v>
      </c>
      <c r="R89">
        <v>0.37</v>
      </c>
      <c r="S89">
        <v>0</v>
      </c>
    </row>
    <row r="90" spans="1:19" x14ac:dyDescent="0.4">
      <c r="A90" s="2">
        <v>46127</v>
      </c>
      <c r="B90">
        <v>4.2450000000000001</v>
      </c>
      <c r="C90">
        <v>4.2939999999999996</v>
      </c>
      <c r="D90">
        <v>4.24</v>
      </c>
      <c r="E90">
        <v>4.2869999999999999</v>
      </c>
      <c r="F90">
        <v>3.6999999999999998E-2</v>
      </c>
      <c r="G90">
        <v>0.87</v>
      </c>
      <c r="H90">
        <v>0</v>
      </c>
      <c r="L90" s="2">
        <v>46127</v>
      </c>
      <c r="M90">
        <v>3.7490000000000001</v>
      </c>
      <c r="N90">
        <v>3.782</v>
      </c>
      <c r="O90">
        <v>3.7410000000000001</v>
      </c>
      <c r="P90">
        <v>3.766</v>
      </c>
      <c r="Q90">
        <v>1.7000000000000001E-2</v>
      </c>
      <c r="R90">
        <v>0.45</v>
      </c>
      <c r="S90">
        <v>0</v>
      </c>
    </row>
    <row r="91" spans="1:19" x14ac:dyDescent="0.4">
      <c r="A91" s="2">
        <v>46126</v>
      </c>
      <c r="B91">
        <v>4.2859999999999996</v>
      </c>
      <c r="C91">
        <v>4.3049999999999997</v>
      </c>
      <c r="D91">
        <v>4.2460000000000004</v>
      </c>
      <c r="E91">
        <v>4.25</v>
      </c>
      <c r="F91">
        <v>-4.3999999999999997E-2</v>
      </c>
      <c r="G91">
        <v>-1.02</v>
      </c>
      <c r="H91">
        <v>0</v>
      </c>
      <c r="L91" s="2">
        <v>46126</v>
      </c>
      <c r="M91">
        <v>3.7759999999999998</v>
      </c>
      <c r="N91">
        <v>3.7949999999999999</v>
      </c>
      <c r="O91">
        <v>3.7450000000000001</v>
      </c>
      <c r="P91">
        <v>3.7490000000000001</v>
      </c>
      <c r="Q91">
        <v>-2.7E-2</v>
      </c>
      <c r="R91">
        <v>-0.72</v>
      </c>
      <c r="S91">
        <v>0</v>
      </c>
    </row>
    <row r="92" spans="1:19" x14ac:dyDescent="0.4">
      <c r="A92" s="2">
        <v>46125</v>
      </c>
      <c r="B92">
        <v>4.3630000000000004</v>
      </c>
      <c r="C92">
        <v>4.3659999999999997</v>
      </c>
      <c r="D92">
        <v>4.2889999999999997</v>
      </c>
      <c r="E92">
        <v>4.2939999999999996</v>
      </c>
      <c r="F92">
        <v>-2.5999999999999999E-2</v>
      </c>
      <c r="G92">
        <v>-0.6</v>
      </c>
      <c r="H92">
        <v>0</v>
      </c>
      <c r="L92" s="2">
        <v>46125</v>
      </c>
      <c r="M92">
        <v>3.8530000000000002</v>
      </c>
      <c r="N92">
        <v>3.8580000000000001</v>
      </c>
      <c r="O92">
        <v>3.7719999999999998</v>
      </c>
      <c r="P92">
        <v>3.7759999999999998</v>
      </c>
      <c r="Q92">
        <v>-2.5000000000000001E-2</v>
      </c>
      <c r="R92">
        <v>-0.66</v>
      </c>
      <c r="S92">
        <v>0</v>
      </c>
    </row>
    <row r="93" spans="1:19" x14ac:dyDescent="0.4">
      <c r="A93" s="2">
        <v>46122</v>
      </c>
      <c r="B93">
        <v>4.2839999999999998</v>
      </c>
      <c r="C93">
        <v>4.3230000000000004</v>
      </c>
      <c r="D93">
        <v>4.2729999999999997</v>
      </c>
      <c r="E93">
        <v>4.32</v>
      </c>
      <c r="F93">
        <v>4.2999999999999997E-2</v>
      </c>
      <c r="G93">
        <v>1.01</v>
      </c>
      <c r="H93">
        <v>0</v>
      </c>
      <c r="L93" s="2">
        <v>46122</v>
      </c>
      <c r="M93">
        <v>3.7869999999999999</v>
      </c>
      <c r="N93">
        <v>3.8119999999999998</v>
      </c>
      <c r="O93">
        <v>3.7469999999999999</v>
      </c>
      <c r="P93">
        <v>3.8010000000000002</v>
      </c>
      <c r="Q93">
        <v>2.8000000000000001E-2</v>
      </c>
      <c r="R93">
        <v>0.74</v>
      </c>
      <c r="S93">
        <v>0</v>
      </c>
    </row>
    <row r="94" spans="1:19" x14ac:dyDescent="0.4">
      <c r="A94" s="2">
        <v>46121</v>
      </c>
      <c r="B94">
        <v>4.2990000000000004</v>
      </c>
      <c r="C94">
        <v>4.3209999999999997</v>
      </c>
      <c r="D94">
        <v>4.2590000000000003</v>
      </c>
      <c r="E94">
        <v>4.2770000000000001</v>
      </c>
      <c r="F94">
        <v>-1.7999999999999999E-2</v>
      </c>
      <c r="G94">
        <v>-0.42</v>
      </c>
      <c r="H94">
        <v>0</v>
      </c>
      <c r="L94" s="2">
        <v>46121</v>
      </c>
      <c r="M94">
        <v>3.7959999999999998</v>
      </c>
      <c r="N94">
        <v>3.8079999999999998</v>
      </c>
      <c r="O94">
        <v>3.742</v>
      </c>
      <c r="P94">
        <v>3.7730000000000001</v>
      </c>
      <c r="Q94">
        <v>-1.7000000000000001E-2</v>
      </c>
      <c r="R94">
        <v>-0.45</v>
      </c>
      <c r="S94">
        <v>0</v>
      </c>
    </row>
    <row r="95" spans="1:19" x14ac:dyDescent="0.4">
      <c r="A95" s="2">
        <v>46120</v>
      </c>
      <c r="B95">
        <v>4.2969999999999997</v>
      </c>
      <c r="C95">
        <v>4.3049999999999997</v>
      </c>
      <c r="D95">
        <v>4.2320000000000002</v>
      </c>
      <c r="E95">
        <v>4.2949999999999999</v>
      </c>
      <c r="F95">
        <v>-2E-3</v>
      </c>
      <c r="G95">
        <v>-0.05</v>
      </c>
      <c r="H95">
        <v>0</v>
      </c>
      <c r="L95" s="2">
        <v>46120</v>
      </c>
      <c r="M95">
        <v>3.794</v>
      </c>
      <c r="N95">
        <v>3.798</v>
      </c>
      <c r="O95">
        <v>3.7189999999999999</v>
      </c>
      <c r="P95">
        <v>3.79</v>
      </c>
      <c r="Q95">
        <v>-4.0000000000000001E-3</v>
      </c>
      <c r="R95">
        <v>-0.11</v>
      </c>
      <c r="S95">
        <v>0</v>
      </c>
    </row>
    <row r="96" spans="1:19" x14ac:dyDescent="0.4">
      <c r="A96" s="2">
        <v>46119</v>
      </c>
      <c r="B96">
        <v>4.3369999999999997</v>
      </c>
      <c r="C96">
        <v>4.3810000000000002</v>
      </c>
      <c r="D96">
        <v>4.2960000000000003</v>
      </c>
      <c r="E96">
        <v>4.2969999999999997</v>
      </c>
      <c r="F96">
        <v>-3.6999999999999998E-2</v>
      </c>
      <c r="G96">
        <v>-0.85</v>
      </c>
      <c r="H96">
        <v>0</v>
      </c>
      <c r="L96" s="2">
        <v>46119</v>
      </c>
      <c r="M96">
        <v>3.8559999999999999</v>
      </c>
      <c r="N96">
        <v>3.879</v>
      </c>
      <c r="O96">
        <v>3.79</v>
      </c>
      <c r="P96">
        <v>3.794</v>
      </c>
      <c r="Q96">
        <v>-5.8000000000000003E-2</v>
      </c>
      <c r="R96">
        <v>-1.51</v>
      </c>
      <c r="S96">
        <v>0</v>
      </c>
    </row>
    <row r="97" spans="1:19" x14ac:dyDescent="0.4">
      <c r="A97" s="2">
        <v>46118</v>
      </c>
      <c r="B97">
        <v>4.3090000000000002</v>
      </c>
      <c r="C97">
        <v>4.37</v>
      </c>
      <c r="D97">
        <v>4.3090000000000002</v>
      </c>
      <c r="E97">
        <v>4.3339999999999996</v>
      </c>
      <c r="F97">
        <v>-5.0000000000000001E-3</v>
      </c>
      <c r="G97">
        <v>-0.12</v>
      </c>
      <c r="H97">
        <v>0</v>
      </c>
      <c r="L97" s="2">
        <v>46118</v>
      </c>
      <c r="M97">
        <v>3.8330000000000002</v>
      </c>
      <c r="N97">
        <v>3.883</v>
      </c>
      <c r="O97">
        <v>3.8330000000000002</v>
      </c>
      <c r="P97">
        <v>3.8519999999999999</v>
      </c>
      <c r="Q97">
        <v>1.9E-2</v>
      </c>
      <c r="R97">
        <v>0.5</v>
      </c>
      <c r="S97">
        <v>0</v>
      </c>
    </row>
    <row r="98" spans="1:19" x14ac:dyDescent="0.4">
      <c r="A98" s="2">
        <v>46115</v>
      </c>
      <c r="B98">
        <v>4.3090000000000002</v>
      </c>
      <c r="C98">
        <v>4.3860000000000001</v>
      </c>
      <c r="D98">
        <v>4.2990000000000004</v>
      </c>
      <c r="E98">
        <v>4.3090000000000002</v>
      </c>
      <c r="F98">
        <v>0</v>
      </c>
      <c r="G98">
        <v>0</v>
      </c>
      <c r="H98">
        <v>0</v>
      </c>
      <c r="L98" s="2">
        <v>46115</v>
      </c>
      <c r="M98">
        <v>3.8</v>
      </c>
      <c r="N98">
        <v>3.9119999999999999</v>
      </c>
      <c r="O98">
        <v>3.798</v>
      </c>
      <c r="P98">
        <v>3.8330000000000002</v>
      </c>
      <c r="Q98">
        <v>3.3000000000000002E-2</v>
      </c>
      <c r="R98">
        <v>0.87</v>
      </c>
      <c r="S98">
        <v>0</v>
      </c>
    </row>
    <row r="99" spans="1:19" x14ac:dyDescent="0.4">
      <c r="A99" s="2">
        <v>46114</v>
      </c>
      <c r="B99">
        <v>4.32</v>
      </c>
      <c r="C99">
        <v>4.3890000000000002</v>
      </c>
      <c r="D99">
        <v>4.2869999999999999</v>
      </c>
      <c r="E99">
        <v>4.3090000000000002</v>
      </c>
      <c r="F99">
        <v>-1.2E-2</v>
      </c>
      <c r="G99">
        <v>-0.28000000000000003</v>
      </c>
      <c r="H99">
        <v>0</v>
      </c>
      <c r="L99" s="2">
        <v>46114</v>
      </c>
      <c r="M99">
        <v>3.8090000000000002</v>
      </c>
      <c r="N99">
        <v>3.8730000000000002</v>
      </c>
      <c r="O99">
        <v>3.778</v>
      </c>
      <c r="P99">
        <v>3.8</v>
      </c>
      <c r="Q99">
        <v>-7.0000000000000001E-3</v>
      </c>
      <c r="R99">
        <v>-0.18</v>
      </c>
      <c r="S99">
        <v>0</v>
      </c>
    </row>
    <row r="100" spans="1:19" x14ac:dyDescent="0.4">
      <c r="A100" s="2">
        <v>46113</v>
      </c>
      <c r="B100">
        <v>4.3150000000000004</v>
      </c>
      <c r="C100">
        <v>4.3360000000000003</v>
      </c>
      <c r="D100">
        <v>4.2619999999999996</v>
      </c>
      <c r="E100">
        <v>4.3209999999999997</v>
      </c>
      <c r="F100">
        <v>0</v>
      </c>
      <c r="G100">
        <v>0</v>
      </c>
      <c r="H100">
        <v>0</v>
      </c>
      <c r="L100" s="2">
        <v>46113</v>
      </c>
      <c r="M100">
        <v>3.7909999999999999</v>
      </c>
      <c r="N100">
        <v>3.8170000000000002</v>
      </c>
      <c r="O100">
        <v>3.7440000000000002</v>
      </c>
      <c r="P100">
        <v>3.8069999999999999</v>
      </c>
      <c r="Q100">
        <v>0.01</v>
      </c>
      <c r="R100">
        <v>0.26</v>
      </c>
      <c r="S100">
        <v>0</v>
      </c>
    </row>
    <row r="101" spans="1:19" x14ac:dyDescent="0.4">
      <c r="A101" s="2">
        <v>46112</v>
      </c>
      <c r="B101">
        <v>4.3579999999999997</v>
      </c>
      <c r="C101">
        <v>4.3639999999999999</v>
      </c>
      <c r="D101">
        <v>4.2839999999999998</v>
      </c>
      <c r="E101">
        <v>4.3209999999999997</v>
      </c>
      <c r="F101">
        <v>-3.1E-2</v>
      </c>
      <c r="G101">
        <v>-0.71</v>
      </c>
      <c r="H101">
        <v>0</v>
      </c>
      <c r="L101" s="2">
        <v>46112</v>
      </c>
      <c r="M101">
        <v>3.8319999999999999</v>
      </c>
      <c r="N101">
        <v>3.8460000000000001</v>
      </c>
      <c r="O101">
        <v>3.754</v>
      </c>
      <c r="P101">
        <v>3.7970000000000002</v>
      </c>
      <c r="Q101">
        <v>-3.5000000000000003E-2</v>
      </c>
      <c r="R101">
        <v>-0.91</v>
      </c>
      <c r="S101">
        <v>0</v>
      </c>
    </row>
    <row r="102" spans="1:19" x14ac:dyDescent="0.4">
      <c r="A102" s="2">
        <v>46111</v>
      </c>
      <c r="B102">
        <v>4.4219999999999997</v>
      </c>
      <c r="C102">
        <v>4.4269999999999996</v>
      </c>
      <c r="D102">
        <v>4.3230000000000004</v>
      </c>
      <c r="E102">
        <v>4.3520000000000003</v>
      </c>
      <c r="F102">
        <v>-7.6999999999999999E-2</v>
      </c>
      <c r="G102">
        <v>-1.74</v>
      </c>
      <c r="H102">
        <v>0</v>
      </c>
      <c r="L102" s="2">
        <v>46111</v>
      </c>
      <c r="M102">
        <v>3.9220000000000002</v>
      </c>
      <c r="N102">
        <v>3.9220000000000002</v>
      </c>
      <c r="O102">
        <v>3.8069999999999999</v>
      </c>
      <c r="P102">
        <v>3.8319999999999999</v>
      </c>
      <c r="Q102">
        <v>-8.2000000000000003E-2</v>
      </c>
      <c r="R102">
        <v>-2.1</v>
      </c>
      <c r="S102">
        <v>0</v>
      </c>
    </row>
    <row r="103" spans="1:19" x14ac:dyDescent="0.4">
      <c r="A103" s="2">
        <v>46108</v>
      </c>
      <c r="B103">
        <v>4.4109999999999996</v>
      </c>
      <c r="C103">
        <v>4.484</v>
      </c>
      <c r="D103">
        <v>4.4059999999999997</v>
      </c>
      <c r="E103">
        <v>4.4290000000000003</v>
      </c>
      <c r="F103">
        <v>1.2999999999999999E-2</v>
      </c>
      <c r="G103">
        <v>0.28999999999999998</v>
      </c>
      <c r="H103">
        <v>0</v>
      </c>
      <c r="L103" s="2">
        <v>46108</v>
      </c>
      <c r="M103">
        <v>3.98</v>
      </c>
      <c r="N103">
        <v>4.0330000000000004</v>
      </c>
      <c r="O103">
        <v>3.9</v>
      </c>
      <c r="P103">
        <v>3.9140000000000001</v>
      </c>
      <c r="Q103">
        <v>-6.8000000000000005E-2</v>
      </c>
      <c r="R103">
        <v>-1.71</v>
      </c>
      <c r="S103">
        <v>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박호찬</dc:creator>
  <cp:lastModifiedBy>박호찬</cp:lastModifiedBy>
  <dcterms:created xsi:type="dcterms:W3CDTF">2026-08-18T04:57:58Z</dcterms:created>
  <dcterms:modified xsi:type="dcterms:W3CDTF">2026-08-18T04:58:51Z</dcterms:modified>
</cp:coreProperties>
</file>